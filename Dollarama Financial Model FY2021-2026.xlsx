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ley\Desktop\Excel practice\Canadian public company analysis\"/>
    </mc:Choice>
  </mc:AlternateContent>
  <xr:revisionPtr revIDLastSave="0" documentId="13_ncr:1_{5D6BC314-17BB-4EBC-B5C7-D51E229C2BAA}" xr6:coauthVersionLast="47" xr6:coauthVersionMax="47" xr10:uidLastSave="{00000000-0000-0000-0000-000000000000}"/>
  <bookViews>
    <workbookView xWindow="-110" yWindow="-110" windowWidth="19420" windowHeight="10420" firstSheet="1" activeTab="6" xr2:uid="{00000000-000D-0000-FFFF-FFFF00000000}"/>
  </bookViews>
  <sheets>
    <sheet name="Intro" sheetId="33" r:id="rId1"/>
    <sheet name="Common Analysis" sheetId="27" r:id="rId2"/>
    <sheet name="Ratio" sheetId="29" r:id="rId3"/>
    <sheet name="DuPont Analysis" sheetId="35" r:id="rId4"/>
    <sheet name="MA Note" sheetId="34" r:id="rId5"/>
    <sheet name="CF Quality" sheetId="32" r:id="rId6"/>
    <sheet name="Forecast + Valuation" sheetId="31" r:id="rId7"/>
    <sheet name="Financial Position" sheetId="2" r:id="rId8"/>
    <sheet name="Income Statement" sheetId="25" r:id="rId9"/>
    <sheet name="Cash Flow" sheetId="26" r:id="rId10"/>
    <sheet name="Data-Cash Flow Statement" sheetId="24" state="hidden" r:id="rId11"/>
    <sheet name="Data-Income Statement" sheetId="18" state="hidden" r:id="rId12"/>
    <sheet name="FP-2026_2022" sheetId="8" state="hidden" r:id="rId13"/>
  </sheets>
  <definedNames>
    <definedName name="Capex___of_sales">'Forecast + Valuation'!$C$19:$D$19</definedName>
    <definedName name="Change_in_net_working_capital____of_incremental_sales">'Forecast + Valuation'!$C$20:$D$20</definedName>
    <definedName name="D_A___of_sales">'Forecast + Valuation'!$C$18:$D$18</definedName>
    <definedName name="Effective_tax_rate">'Forecast + Valuation'!$C$17:$D$17</definedName>
    <definedName name="ExternalData_1" localSheetId="12" hidden="1">'FP-2026_2022'!$A$1:$H$45</definedName>
    <definedName name="ExternalData_2" localSheetId="11" hidden="1">'Data-Income Statement'!$A$1:$H$41</definedName>
    <definedName name="ExternalData_4" localSheetId="10" hidden="1">'Data-Cash Flow Statement'!$A$1:$H$53</definedName>
    <definedName name="Operating_margin">'Forecast + Valuation'!$C$16:$D$16</definedName>
    <definedName name="Revenue_growth_rate">'Forecast + Valuation'!$C$15:$D$15</definedName>
    <definedName name="Terminal__perpetuity__growth_rate">'Forecast + Valuation'!$C$21:$D$21</definedName>
    <definedName name="WACC">'Forecast + Valuation'!$D$45</definedName>
    <definedName name="WACC__discount_rate">'Forecast + Valuation'!#REF!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35" l="1"/>
  <c r="F13" i="35"/>
  <c r="G13" i="35"/>
  <c r="H13" i="35"/>
  <c r="I13" i="35"/>
  <c r="D13" i="35"/>
  <c r="I10" i="35"/>
  <c r="H10" i="35"/>
  <c r="E10" i="35"/>
  <c r="F10" i="35"/>
  <c r="G10" i="35"/>
  <c r="D10" i="35"/>
  <c r="E9" i="35"/>
  <c r="F9" i="35"/>
  <c r="G9" i="35"/>
  <c r="H9" i="35"/>
  <c r="I9" i="35"/>
  <c r="D9" i="35"/>
  <c r="E8" i="35"/>
  <c r="F8" i="35"/>
  <c r="G8" i="35"/>
  <c r="H8" i="35"/>
  <c r="I8" i="35"/>
  <c r="D8" i="35"/>
  <c r="E13" i="34"/>
  <c r="E10" i="34"/>
  <c r="D9" i="34"/>
  <c r="G12" i="35" l="1"/>
  <c r="H12" i="35"/>
  <c r="I12" i="35"/>
  <c r="F12" i="35"/>
  <c r="D12" i="35"/>
  <c r="E12" i="35"/>
  <c r="E11" i="34"/>
  <c r="C11" i="26" l="1"/>
  <c r="D66" i="31"/>
  <c r="D8" i="31" l="1"/>
  <c r="D7" i="31"/>
  <c r="D64" i="31"/>
  <c r="D39" i="31"/>
  <c r="D38" i="31"/>
  <c r="D37" i="31"/>
  <c r="D32" i="31"/>
  <c r="D27" i="31"/>
  <c r="D12" i="31"/>
  <c r="E20" i="32"/>
  <c r="F20" i="32"/>
  <c r="G20" i="32"/>
  <c r="H20" i="32"/>
  <c r="I20" i="32"/>
  <c r="D20" i="32"/>
  <c r="E19" i="32"/>
  <c r="F19" i="32"/>
  <c r="G19" i="32"/>
  <c r="H19" i="32"/>
  <c r="I19" i="32"/>
  <c r="D19" i="32"/>
  <c r="F18" i="32"/>
  <c r="G18" i="32"/>
  <c r="H18" i="32"/>
  <c r="I18" i="32"/>
  <c r="E18" i="32"/>
  <c r="D18" i="32"/>
  <c r="E16" i="32"/>
  <c r="F16" i="32"/>
  <c r="G16" i="32"/>
  <c r="H16" i="32"/>
  <c r="I16" i="32"/>
  <c r="D16" i="32"/>
  <c r="E15" i="32"/>
  <c r="F15" i="32"/>
  <c r="G15" i="32"/>
  <c r="H15" i="32"/>
  <c r="I15" i="32"/>
  <c r="D15" i="32"/>
  <c r="E11" i="32"/>
  <c r="E13" i="32" s="1"/>
  <c r="F11" i="32"/>
  <c r="G11" i="32"/>
  <c r="H11" i="32"/>
  <c r="I11" i="32"/>
  <c r="E12" i="32"/>
  <c r="F12" i="32"/>
  <c r="G12" i="32"/>
  <c r="H12" i="32"/>
  <c r="H13" i="32" s="1"/>
  <c r="I12" i="32"/>
  <c r="D12" i="32"/>
  <c r="D11" i="32"/>
  <c r="E8" i="32"/>
  <c r="F8" i="32"/>
  <c r="G8" i="32"/>
  <c r="H8" i="32"/>
  <c r="I8" i="32"/>
  <c r="D8" i="32"/>
  <c r="E7" i="32"/>
  <c r="F7" i="32"/>
  <c r="G7" i="32"/>
  <c r="H7" i="32"/>
  <c r="I7" i="32"/>
  <c r="D7" i="32"/>
  <c r="D11" i="31"/>
  <c r="D10" i="31"/>
  <c r="D9" i="31"/>
  <c r="E48" i="31"/>
  <c r="F48" i="31"/>
  <c r="G48" i="31"/>
  <c r="H48" i="31"/>
  <c r="I48" i="31"/>
  <c r="J48" i="31" s="1"/>
  <c r="D48" i="31"/>
  <c r="H71" i="31"/>
  <c r="G71" i="31"/>
  <c r="F71" i="31"/>
  <c r="E71" i="31"/>
  <c r="D71" i="31"/>
  <c r="D40" i="31" l="1"/>
  <c r="D41" i="31" s="1"/>
  <c r="D13" i="32"/>
  <c r="G13" i="32"/>
  <c r="D9" i="32"/>
  <c r="F13" i="32"/>
  <c r="I13" i="32"/>
  <c r="I14" i="32" s="1"/>
  <c r="I21" i="32" s="1"/>
  <c r="F14" i="32"/>
  <c r="F21" i="32" s="1"/>
  <c r="I9" i="32"/>
  <c r="H14" i="32"/>
  <c r="D14" i="32"/>
  <c r="E14" i="32"/>
  <c r="E9" i="32"/>
  <c r="F9" i="32"/>
  <c r="G9" i="32"/>
  <c r="H9" i="32"/>
  <c r="J53" i="31"/>
  <c r="J54" i="31"/>
  <c r="K48" i="31"/>
  <c r="J52" i="31"/>
  <c r="J49" i="31"/>
  <c r="D43" i="31" l="1"/>
  <c r="D42" i="31"/>
  <c r="D45" i="31" s="1"/>
  <c r="G14" i="32"/>
  <c r="H21" i="32"/>
  <c r="D21" i="32"/>
  <c r="E21" i="32"/>
  <c r="J50" i="31"/>
  <c r="J51" i="31" s="1"/>
  <c r="J55" i="31" s="1"/>
  <c r="K53" i="31"/>
  <c r="K52" i="31"/>
  <c r="K49" i="31"/>
  <c r="K54" i="31"/>
  <c r="L48" i="31"/>
  <c r="B76" i="31" l="1"/>
  <c r="B75" i="31"/>
  <c r="J58" i="31"/>
  <c r="J59" i="31" s="1"/>
  <c r="B73" i="31"/>
  <c r="B72" i="31"/>
  <c r="L58" i="31"/>
  <c r="K58" i="31"/>
  <c r="B74" i="31"/>
  <c r="G21" i="32"/>
  <c r="L52" i="31"/>
  <c r="L49" i="31"/>
  <c r="L53" i="31"/>
  <c r="L54" i="31"/>
  <c r="K50" i="31"/>
  <c r="K51" i="31" s="1"/>
  <c r="K55" i="31" s="1"/>
  <c r="K59" i="31" l="1"/>
  <c r="L50" i="31"/>
  <c r="L51" i="31" s="1"/>
  <c r="L55" i="31" s="1"/>
  <c r="G73" i="31" l="1"/>
  <c r="D61" i="31"/>
  <c r="D62" i="31" s="1"/>
  <c r="F72" i="31"/>
  <c r="G74" i="31"/>
  <c r="H75" i="31"/>
  <c r="E74" i="31"/>
  <c r="G76" i="31"/>
  <c r="L59" i="31"/>
  <c r="D60" i="31" s="1"/>
  <c r="D74" i="31"/>
  <c r="E76" i="31"/>
  <c r="E73" i="31"/>
  <c r="D73" i="31"/>
  <c r="H73" i="31"/>
  <c r="F73" i="31"/>
  <c r="F75" i="31"/>
  <c r="D72" i="31"/>
  <c r="G72" i="31"/>
  <c r="F74" i="31"/>
  <c r="H74" i="31"/>
  <c r="G75" i="31"/>
  <c r="D76" i="31"/>
  <c r="H76" i="31"/>
  <c r="F76" i="31"/>
  <c r="D75" i="31"/>
  <c r="E75" i="31"/>
  <c r="H72" i="31"/>
  <c r="E72" i="31"/>
  <c r="D63" i="31" l="1"/>
  <c r="D65" i="31" s="1"/>
  <c r="D67" i="31" s="1"/>
  <c r="E32" i="29" l="1"/>
  <c r="F32" i="29"/>
  <c r="G32" i="29"/>
  <c r="H32" i="29"/>
  <c r="I32" i="29"/>
  <c r="D32" i="29"/>
  <c r="E31" i="29"/>
  <c r="F31" i="29"/>
  <c r="G31" i="29"/>
  <c r="H31" i="29"/>
  <c r="I31" i="29"/>
  <c r="D31" i="29"/>
  <c r="E30" i="29"/>
  <c r="F30" i="29"/>
  <c r="G30" i="29"/>
  <c r="H30" i="29"/>
  <c r="I30" i="29"/>
  <c r="D30" i="29"/>
  <c r="F29" i="29"/>
  <c r="G29" i="29"/>
  <c r="H29" i="29"/>
  <c r="I29" i="29"/>
  <c r="E29" i="29"/>
  <c r="D29" i="29"/>
  <c r="E28" i="29"/>
  <c r="F28" i="29"/>
  <c r="G28" i="29"/>
  <c r="H28" i="29"/>
  <c r="I28" i="29"/>
  <c r="D28" i="29"/>
  <c r="H27" i="29"/>
  <c r="I27" i="29"/>
  <c r="E27" i="29"/>
  <c r="F27" i="29"/>
  <c r="G27" i="29"/>
  <c r="D27" i="29"/>
  <c r="E24" i="29"/>
  <c r="F24" i="29"/>
  <c r="G24" i="29"/>
  <c r="H24" i="29"/>
  <c r="I24" i="29"/>
  <c r="D24" i="29"/>
  <c r="E23" i="29"/>
  <c r="F23" i="29"/>
  <c r="G23" i="29"/>
  <c r="H23" i="29"/>
  <c r="I23" i="29"/>
  <c r="D23" i="29"/>
  <c r="E22" i="29"/>
  <c r="F22" i="29"/>
  <c r="G22" i="29"/>
  <c r="H22" i="29"/>
  <c r="I22" i="29"/>
  <c r="D22" i="29"/>
  <c r="E21" i="29"/>
  <c r="F21" i="29"/>
  <c r="G21" i="29"/>
  <c r="H21" i="29"/>
  <c r="I21" i="29"/>
  <c r="D21" i="29"/>
  <c r="E20" i="29"/>
  <c r="F20" i="29"/>
  <c r="G20" i="29"/>
  <c r="H20" i="29"/>
  <c r="I20" i="29"/>
  <c r="D20" i="29"/>
  <c r="E17" i="29"/>
  <c r="F17" i="29"/>
  <c r="G17" i="29"/>
  <c r="H17" i="29"/>
  <c r="I17" i="29"/>
  <c r="D17" i="29"/>
  <c r="E16" i="29"/>
  <c r="F16" i="29"/>
  <c r="G16" i="29"/>
  <c r="H16" i="29"/>
  <c r="I16" i="29"/>
  <c r="D16" i="29"/>
  <c r="E15" i="29"/>
  <c r="F15" i="29"/>
  <c r="G15" i="29"/>
  <c r="H15" i="29"/>
  <c r="I15" i="29"/>
  <c r="D15" i="29"/>
  <c r="F14" i="29"/>
  <c r="G14" i="29"/>
  <c r="H14" i="29"/>
  <c r="I14" i="29"/>
  <c r="E14" i="29"/>
  <c r="D14" i="29"/>
  <c r="F13" i="29"/>
  <c r="G13" i="29"/>
  <c r="H13" i="29"/>
  <c r="I13" i="29"/>
  <c r="E13" i="29"/>
  <c r="D13" i="29"/>
  <c r="E10" i="29"/>
  <c r="F10" i="29"/>
  <c r="G10" i="29"/>
  <c r="H10" i="29"/>
  <c r="I10" i="29"/>
  <c r="D10" i="29"/>
  <c r="E8" i="29"/>
  <c r="F8" i="29"/>
  <c r="G8" i="29"/>
  <c r="H8" i="29"/>
  <c r="I8" i="29"/>
  <c r="D8" i="29"/>
  <c r="E9" i="29"/>
  <c r="F9" i="29"/>
  <c r="G9" i="29"/>
  <c r="H9" i="29"/>
  <c r="I9" i="29"/>
  <c r="D9" i="29"/>
  <c r="E30" i="27"/>
  <c r="F30" i="27"/>
  <c r="G30" i="27"/>
  <c r="H30" i="27"/>
  <c r="I30" i="27"/>
  <c r="D30" i="27"/>
  <c r="D8" i="27"/>
  <c r="D37" i="25" l="1"/>
  <c r="E37" i="25"/>
  <c r="F37" i="25"/>
  <c r="G37" i="25"/>
  <c r="H37" i="25"/>
  <c r="I37" i="25"/>
  <c r="E36" i="25"/>
  <c r="F36" i="25"/>
  <c r="G36" i="25"/>
  <c r="H36" i="25"/>
  <c r="I36" i="25"/>
  <c r="D36" i="25"/>
  <c r="D35" i="25"/>
  <c r="E35" i="25"/>
  <c r="F35" i="25"/>
  <c r="G35" i="25"/>
  <c r="H35" i="25"/>
  <c r="I35" i="25"/>
  <c r="E34" i="25"/>
  <c r="F34" i="25"/>
  <c r="G34" i="25"/>
  <c r="H34" i="25"/>
  <c r="I34" i="25"/>
  <c r="D34" i="25"/>
  <c r="D23" i="25"/>
  <c r="E23" i="25"/>
  <c r="F23" i="25"/>
  <c r="G23" i="25"/>
  <c r="H23" i="25"/>
  <c r="I23" i="25"/>
  <c r="D24" i="25"/>
  <c r="E24" i="25"/>
  <c r="F24" i="25"/>
  <c r="G24" i="25"/>
  <c r="H24" i="25"/>
  <c r="I24" i="25"/>
  <c r="D25" i="25"/>
  <c r="E25" i="25"/>
  <c r="F25" i="25"/>
  <c r="G25" i="25"/>
  <c r="H25" i="25"/>
  <c r="I25" i="25"/>
  <c r="D26" i="25"/>
  <c r="E26" i="25"/>
  <c r="F26" i="25"/>
  <c r="G26" i="25"/>
  <c r="H26" i="25"/>
  <c r="I26" i="25"/>
  <c r="D27" i="25"/>
  <c r="E27" i="25"/>
  <c r="F27" i="25"/>
  <c r="G27" i="25"/>
  <c r="H27" i="25"/>
  <c r="I27" i="25"/>
  <c r="D28" i="25"/>
  <c r="E28" i="25"/>
  <c r="F28" i="25"/>
  <c r="G28" i="25"/>
  <c r="H28" i="25"/>
  <c r="I28" i="25"/>
  <c r="D29" i="25"/>
  <c r="E29" i="25"/>
  <c r="F29" i="25"/>
  <c r="G29" i="25"/>
  <c r="H29" i="25"/>
  <c r="I29" i="25"/>
  <c r="D22" i="25"/>
  <c r="E22" i="25"/>
  <c r="F22" i="25"/>
  <c r="G22" i="25"/>
  <c r="H22" i="25"/>
  <c r="H17" i="25"/>
  <c r="H15" i="27" s="1"/>
  <c r="I17" i="25"/>
  <c r="I15" i="27" s="1"/>
  <c r="E17" i="25"/>
  <c r="F17" i="25"/>
  <c r="G17" i="25"/>
  <c r="G15" i="27" s="1"/>
  <c r="D17" i="25"/>
  <c r="D15" i="27" s="1"/>
  <c r="D49" i="2"/>
  <c r="E49" i="2"/>
  <c r="F49" i="2"/>
  <c r="G49" i="2"/>
  <c r="H49" i="2"/>
  <c r="I49" i="2"/>
  <c r="D50" i="2"/>
  <c r="E50" i="2"/>
  <c r="F50" i="2"/>
  <c r="G50" i="2"/>
  <c r="H50" i="2"/>
  <c r="I50" i="2"/>
  <c r="D51" i="2"/>
  <c r="E51" i="2"/>
  <c r="F51" i="2"/>
  <c r="G51" i="2"/>
  <c r="H51" i="2"/>
  <c r="I51" i="2"/>
  <c r="D52" i="2"/>
  <c r="E52" i="2"/>
  <c r="F52" i="2"/>
  <c r="G52" i="2"/>
  <c r="H52" i="2"/>
  <c r="I52" i="2"/>
  <c r="D48" i="2"/>
  <c r="E48" i="2"/>
  <c r="F48" i="2"/>
  <c r="G48" i="2"/>
  <c r="H48" i="2"/>
  <c r="D42" i="2"/>
  <c r="E42" i="2"/>
  <c r="F42" i="2"/>
  <c r="G42" i="2"/>
  <c r="H42" i="2"/>
  <c r="I42" i="2"/>
  <c r="D43" i="2"/>
  <c r="E43" i="2"/>
  <c r="F43" i="2"/>
  <c r="G43" i="2"/>
  <c r="H43" i="2"/>
  <c r="I43" i="2"/>
  <c r="D44" i="2"/>
  <c r="E44" i="2"/>
  <c r="F44" i="2"/>
  <c r="G44" i="2"/>
  <c r="H44" i="2"/>
  <c r="I44" i="2"/>
  <c r="D41" i="2"/>
  <c r="E41" i="2"/>
  <c r="F41" i="2"/>
  <c r="G41" i="2"/>
  <c r="H41" i="2"/>
  <c r="D32" i="2"/>
  <c r="E32" i="2"/>
  <c r="F32" i="2"/>
  <c r="G32" i="2"/>
  <c r="H32" i="2"/>
  <c r="I32" i="2"/>
  <c r="D33" i="2"/>
  <c r="E33" i="2"/>
  <c r="F33" i="2"/>
  <c r="G33" i="2"/>
  <c r="H33" i="2"/>
  <c r="I33" i="2"/>
  <c r="D34" i="2"/>
  <c r="E34" i="2"/>
  <c r="F34" i="2"/>
  <c r="G34" i="2"/>
  <c r="H34" i="2"/>
  <c r="I34" i="2"/>
  <c r="D35" i="2"/>
  <c r="E35" i="2"/>
  <c r="F35" i="2"/>
  <c r="G35" i="2"/>
  <c r="H35" i="2"/>
  <c r="I35" i="2"/>
  <c r="D36" i="2"/>
  <c r="E36" i="2"/>
  <c r="F36" i="2"/>
  <c r="G36" i="2"/>
  <c r="H36" i="2"/>
  <c r="I36" i="2"/>
  <c r="D37" i="2"/>
  <c r="E37" i="2"/>
  <c r="F37" i="2"/>
  <c r="G37" i="2"/>
  <c r="H37" i="2"/>
  <c r="I37" i="2"/>
  <c r="D31" i="2"/>
  <c r="E31" i="2"/>
  <c r="F31" i="2"/>
  <c r="G31" i="2"/>
  <c r="H31" i="2"/>
  <c r="D20" i="2"/>
  <c r="E20" i="2"/>
  <c r="F20" i="2"/>
  <c r="G20" i="2"/>
  <c r="H20" i="2"/>
  <c r="I20" i="2"/>
  <c r="D21" i="2"/>
  <c r="E21" i="2"/>
  <c r="F21" i="2"/>
  <c r="G21" i="2"/>
  <c r="H21" i="2"/>
  <c r="I21" i="2"/>
  <c r="D22" i="2"/>
  <c r="E22" i="2"/>
  <c r="F22" i="2"/>
  <c r="G22" i="2"/>
  <c r="H22" i="2"/>
  <c r="I22" i="2"/>
  <c r="D23" i="2"/>
  <c r="E23" i="2"/>
  <c r="F23" i="2"/>
  <c r="G23" i="2"/>
  <c r="H23" i="2"/>
  <c r="I23" i="2"/>
  <c r="D24" i="2"/>
  <c r="E24" i="2"/>
  <c r="F24" i="2"/>
  <c r="G24" i="2"/>
  <c r="H24" i="2"/>
  <c r="I24" i="2"/>
  <c r="D25" i="2"/>
  <c r="E25" i="2"/>
  <c r="F25" i="2"/>
  <c r="G25" i="2"/>
  <c r="H25" i="2"/>
  <c r="I25" i="2"/>
  <c r="D26" i="2"/>
  <c r="E26" i="2"/>
  <c r="F26" i="2"/>
  <c r="G26" i="2"/>
  <c r="H26" i="2"/>
  <c r="I26" i="2"/>
  <c r="D19" i="2"/>
  <c r="E19" i="2"/>
  <c r="F19" i="2"/>
  <c r="G19" i="2"/>
  <c r="H19" i="2"/>
  <c r="D10" i="2"/>
  <c r="E10" i="2"/>
  <c r="F10" i="2"/>
  <c r="G10" i="2"/>
  <c r="H10" i="2"/>
  <c r="I10" i="2"/>
  <c r="D11" i="2"/>
  <c r="E11" i="2"/>
  <c r="F11" i="2"/>
  <c r="G11" i="2"/>
  <c r="H11" i="2"/>
  <c r="I11" i="2"/>
  <c r="D12" i="2"/>
  <c r="E12" i="2"/>
  <c r="F12" i="2"/>
  <c r="G12" i="2"/>
  <c r="H12" i="2"/>
  <c r="I12" i="2"/>
  <c r="D13" i="2"/>
  <c r="E13" i="2"/>
  <c r="F13" i="2"/>
  <c r="G13" i="2"/>
  <c r="H13" i="2"/>
  <c r="I13" i="2"/>
  <c r="D14" i="2"/>
  <c r="E14" i="2"/>
  <c r="F14" i="2"/>
  <c r="G14" i="2"/>
  <c r="H14" i="2"/>
  <c r="I14" i="2"/>
  <c r="D15" i="2"/>
  <c r="E15" i="2"/>
  <c r="F15" i="2"/>
  <c r="G15" i="2"/>
  <c r="H15" i="2"/>
  <c r="I15" i="2"/>
  <c r="D9" i="2"/>
  <c r="E9" i="2"/>
  <c r="F9" i="2"/>
  <c r="G9" i="2"/>
  <c r="H9" i="2"/>
  <c r="I15" i="25"/>
  <c r="H15" i="25"/>
  <c r="H13" i="27" s="1"/>
  <c r="E15" i="25"/>
  <c r="E13" i="27" s="1"/>
  <c r="F15" i="25"/>
  <c r="G15" i="25"/>
  <c r="D15" i="25"/>
  <c r="D14" i="25"/>
  <c r="E14" i="25"/>
  <c r="F14" i="25"/>
  <c r="G14" i="25"/>
  <c r="H14" i="25"/>
  <c r="H11" i="25"/>
  <c r="I11" i="25"/>
  <c r="H12" i="25"/>
  <c r="I12" i="25"/>
  <c r="I10" i="25"/>
  <c r="H10" i="25"/>
  <c r="H10" i="27" s="1"/>
  <c r="D11" i="25"/>
  <c r="E11" i="25"/>
  <c r="E11" i="27" s="1"/>
  <c r="F11" i="25"/>
  <c r="G11" i="25"/>
  <c r="D12" i="25"/>
  <c r="E12" i="25"/>
  <c r="F12" i="25"/>
  <c r="G12" i="25"/>
  <c r="E10" i="25"/>
  <c r="E10" i="27" s="1"/>
  <c r="F10" i="25"/>
  <c r="F10" i="27" s="1"/>
  <c r="G10" i="25"/>
  <c r="D10" i="25"/>
  <c r="H8" i="25"/>
  <c r="H8" i="27" s="1"/>
  <c r="I8" i="25"/>
  <c r="I8" i="27" s="1"/>
  <c r="D8" i="25"/>
  <c r="E8" i="25"/>
  <c r="E8" i="27" s="1"/>
  <c r="F8" i="25"/>
  <c r="F8" i="27" s="1"/>
  <c r="G8" i="25"/>
  <c r="G8" i="27" s="1"/>
  <c r="E7" i="25"/>
  <c r="F7" i="25"/>
  <c r="G7" i="25"/>
  <c r="D7" i="25"/>
  <c r="H7" i="25"/>
  <c r="I7" i="25"/>
  <c r="H59" i="26"/>
  <c r="I59" i="26"/>
  <c r="E64" i="26"/>
  <c r="F64" i="26"/>
  <c r="G64" i="26"/>
  <c r="H64" i="26"/>
  <c r="I64" i="26"/>
  <c r="D64" i="26"/>
  <c r="D60" i="26"/>
  <c r="E60" i="26"/>
  <c r="F60" i="26"/>
  <c r="G60" i="26"/>
  <c r="G59" i="26" s="1"/>
  <c r="H60" i="26"/>
  <c r="I60" i="26"/>
  <c r="D61" i="26"/>
  <c r="D59" i="26" s="1"/>
  <c r="E61" i="26"/>
  <c r="E59" i="26" s="1"/>
  <c r="F61" i="26"/>
  <c r="F59" i="26" s="1"/>
  <c r="G61" i="26"/>
  <c r="H61" i="26"/>
  <c r="I61" i="26"/>
  <c r="D51" i="26"/>
  <c r="E51" i="26"/>
  <c r="F51" i="26"/>
  <c r="G51" i="26"/>
  <c r="H51" i="26"/>
  <c r="I51" i="26"/>
  <c r="D52" i="26"/>
  <c r="E52" i="26"/>
  <c r="F52" i="26"/>
  <c r="G52" i="26"/>
  <c r="H52" i="26"/>
  <c r="I52" i="26"/>
  <c r="D53" i="26"/>
  <c r="E53" i="26"/>
  <c r="F53" i="26"/>
  <c r="G53" i="26"/>
  <c r="H53" i="26"/>
  <c r="I53" i="26"/>
  <c r="D54" i="26"/>
  <c r="E54" i="26"/>
  <c r="F54" i="26"/>
  <c r="G54" i="26"/>
  <c r="H54" i="26"/>
  <c r="I54" i="26"/>
  <c r="D55" i="26"/>
  <c r="E55" i="26"/>
  <c r="F55" i="26"/>
  <c r="G55" i="26"/>
  <c r="H55" i="26"/>
  <c r="I55" i="26"/>
  <c r="D56" i="26"/>
  <c r="E56" i="26"/>
  <c r="F56" i="26"/>
  <c r="G56" i="26"/>
  <c r="H56" i="26"/>
  <c r="I56" i="26"/>
  <c r="D57" i="26"/>
  <c r="E57" i="26"/>
  <c r="F57" i="26"/>
  <c r="G57" i="26"/>
  <c r="H57" i="26"/>
  <c r="I57" i="26"/>
  <c r="D45" i="26"/>
  <c r="E45" i="26"/>
  <c r="F45" i="26"/>
  <c r="G45" i="26"/>
  <c r="H45" i="26"/>
  <c r="I45" i="26"/>
  <c r="D46" i="26"/>
  <c r="E46" i="26"/>
  <c r="F46" i="26"/>
  <c r="G46" i="26"/>
  <c r="H46" i="26"/>
  <c r="I46" i="26"/>
  <c r="D47" i="26"/>
  <c r="E47" i="26"/>
  <c r="F47" i="26"/>
  <c r="G47" i="26"/>
  <c r="H47" i="26"/>
  <c r="I47" i="26"/>
  <c r="D48" i="26"/>
  <c r="E48" i="26"/>
  <c r="F48" i="26"/>
  <c r="G48" i="26"/>
  <c r="H48" i="26"/>
  <c r="I48" i="26"/>
  <c r="D49" i="26"/>
  <c r="E49" i="26"/>
  <c r="F49" i="26"/>
  <c r="G49" i="26"/>
  <c r="H49" i="26"/>
  <c r="I49" i="26"/>
  <c r="D50" i="26"/>
  <c r="E50" i="26"/>
  <c r="F50" i="26"/>
  <c r="G50" i="26"/>
  <c r="H50" i="26"/>
  <c r="I50" i="26"/>
  <c r="D40" i="26"/>
  <c r="E40" i="26"/>
  <c r="F40" i="26"/>
  <c r="G40" i="26"/>
  <c r="H40" i="26"/>
  <c r="I40" i="26"/>
  <c r="D41" i="26"/>
  <c r="E41" i="26"/>
  <c r="F41" i="26"/>
  <c r="G41" i="26"/>
  <c r="H41" i="26"/>
  <c r="I41" i="26"/>
  <c r="D42" i="26"/>
  <c r="E42" i="26"/>
  <c r="F42" i="26"/>
  <c r="G42" i="26"/>
  <c r="H42" i="26"/>
  <c r="I42" i="26"/>
  <c r="D43" i="26"/>
  <c r="E43" i="26"/>
  <c r="F43" i="26"/>
  <c r="G43" i="26"/>
  <c r="H43" i="26"/>
  <c r="I43" i="26"/>
  <c r="D44" i="26"/>
  <c r="E44" i="26"/>
  <c r="F44" i="26"/>
  <c r="G44" i="26"/>
  <c r="H44" i="26"/>
  <c r="I44" i="26"/>
  <c r="E39" i="26"/>
  <c r="F39" i="26"/>
  <c r="G39" i="26"/>
  <c r="H39" i="26"/>
  <c r="I39" i="26"/>
  <c r="D39" i="26"/>
  <c r="D30" i="26"/>
  <c r="E30" i="26"/>
  <c r="F30" i="26"/>
  <c r="G30" i="26"/>
  <c r="H30" i="26"/>
  <c r="I30" i="26"/>
  <c r="D31" i="26"/>
  <c r="E31" i="26"/>
  <c r="F31" i="26"/>
  <c r="G31" i="26"/>
  <c r="H31" i="26"/>
  <c r="I31" i="26"/>
  <c r="D32" i="26"/>
  <c r="E32" i="26"/>
  <c r="F32" i="26"/>
  <c r="G32" i="26"/>
  <c r="H32" i="26"/>
  <c r="I32" i="26"/>
  <c r="D33" i="26"/>
  <c r="E33" i="26"/>
  <c r="F33" i="26"/>
  <c r="G33" i="26"/>
  <c r="H33" i="26"/>
  <c r="I33" i="26"/>
  <c r="D34" i="26"/>
  <c r="E34" i="26"/>
  <c r="F34" i="26"/>
  <c r="G34" i="26"/>
  <c r="H34" i="26"/>
  <c r="I34" i="26"/>
  <c r="D35" i="26"/>
  <c r="E35" i="26"/>
  <c r="F35" i="26"/>
  <c r="G35" i="26"/>
  <c r="H35" i="26"/>
  <c r="I35" i="26"/>
  <c r="D36" i="26"/>
  <c r="E36" i="26"/>
  <c r="F36" i="26"/>
  <c r="G36" i="26"/>
  <c r="H36" i="26"/>
  <c r="I36" i="26"/>
  <c r="E29" i="26"/>
  <c r="F29" i="26"/>
  <c r="G29" i="26"/>
  <c r="H29" i="26"/>
  <c r="I29" i="26"/>
  <c r="D29" i="26"/>
  <c r="E25" i="26"/>
  <c r="F25" i="26"/>
  <c r="G25" i="26"/>
  <c r="H25" i="26"/>
  <c r="I25" i="26"/>
  <c r="D25" i="26"/>
  <c r="D12" i="26"/>
  <c r="E12" i="26"/>
  <c r="F12" i="26"/>
  <c r="G12" i="26"/>
  <c r="H12" i="26"/>
  <c r="I12" i="26"/>
  <c r="D13" i="26"/>
  <c r="E13" i="26"/>
  <c r="F13" i="26"/>
  <c r="G13" i="26"/>
  <c r="H13" i="26"/>
  <c r="I13" i="26"/>
  <c r="D14" i="26"/>
  <c r="E14" i="26"/>
  <c r="F14" i="26"/>
  <c r="G14" i="26"/>
  <c r="H14" i="26"/>
  <c r="I14" i="26"/>
  <c r="D15" i="26"/>
  <c r="E15" i="26"/>
  <c r="F15" i="26"/>
  <c r="G15" i="26"/>
  <c r="H15" i="26"/>
  <c r="I15" i="26"/>
  <c r="D16" i="26"/>
  <c r="E16" i="26"/>
  <c r="F16" i="26"/>
  <c r="G16" i="26"/>
  <c r="H16" i="26"/>
  <c r="I16" i="26"/>
  <c r="D17" i="26"/>
  <c r="E17" i="26"/>
  <c r="F17" i="26"/>
  <c r="G17" i="26"/>
  <c r="H17" i="26"/>
  <c r="I17" i="26"/>
  <c r="D18" i="26"/>
  <c r="E18" i="26"/>
  <c r="F18" i="26"/>
  <c r="G18" i="26"/>
  <c r="H18" i="26"/>
  <c r="I18" i="26"/>
  <c r="D19" i="26"/>
  <c r="E19" i="26"/>
  <c r="F19" i="26"/>
  <c r="G19" i="26"/>
  <c r="H19" i="26"/>
  <c r="I19" i="26"/>
  <c r="D20" i="26"/>
  <c r="E20" i="26"/>
  <c r="F20" i="26"/>
  <c r="G20" i="26"/>
  <c r="H20" i="26"/>
  <c r="I20" i="26"/>
  <c r="D21" i="26"/>
  <c r="E21" i="26"/>
  <c r="F21" i="26"/>
  <c r="G21" i="26"/>
  <c r="H21" i="26"/>
  <c r="I21" i="26"/>
  <c r="D22" i="26"/>
  <c r="E22" i="26"/>
  <c r="F22" i="26"/>
  <c r="G22" i="26"/>
  <c r="H22" i="26"/>
  <c r="I22" i="26"/>
  <c r="E11" i="26"/>
  <c r="F11" i="26"/>
  <c r="G11" i="26"/>
  <c r="H11" i="26"/>
  <c r="I11" i="26"/>
  <c r="D11" i="26"/>
  <c r="E8" i="26"/>
  <c r="F8" i="26"/>
  <c r="G8" i="26"/>
  <c r="H8" i="26"/>
  <c r="I8" i="26"/>
  <c r="D8" i="26"/>
  <c r="C10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9" i="26"/>
  <c r="C60" i="26"/>
  <c r="C61" i="26"/>
  <c r="C63" i="26"/>
  <c r="C64" i="26"/>
  <c r="C8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5" i="26"/>
  <c r="C26" i="26"/>
  <c r="C28" i="26"/>
  <c r="C29" i="26"/>
  <c r="C30" i="26"/>
  <c r="C31" i="26"/>
  <c r="C32" i="26"/>
  <c r="C33" i="26"/>
  <c r="C34" i="26"/>
  <c r="C35" i="26"/>
  <c r="C36" i="26"/>
  <c r="C38" i="26"/>
  <c r="C39" i="26"/>
  <c r="C40" i="26"/>
  <c r="C41" i="26"/>
  <c r="C42" i="26"/>
  <c r="C7" i="26"/>
  <c r="I22" i="25"/>
  <c r="I14" i="25"/>
  <c r="D10" i="27" l="1"/>
  <c r="G11" i="27"/>
  <c r="I11" i="27"/>
  <c r="G13" i="27"/>
  <c r="G10" i="27"/>
  <c r="F11" i="27"/>
  <c r="H11" i="27"/>
  <c r="F13" i="27"/>
  <c r="D11" i="27"/>
  <c r="I13" i="27"/>
  <c r="F15" i="27"/>
  <c r="I10" i="27"/>
  <c r="E15" i="27"/>
  <c r="D13" i="27"/>
  <c r="D16" i="2"/>
  <c r="H16" i="2"/>
  <c r="F16" i="2"/>
  <c r="G16" i="2"/>
  <c r="E16" i="2"/>
  <c r="H30" i="25"/>
  <c r="D30" i="25"/>
  <c r="H23" i="26"/>
  <c r="H26" i="26" s="1"/>
  <c r="I23" i="26"/>
  <c r="I26" i="26" s="1"/>
  <c r="G23" i="26"/>
  <c r="G26" i="26" s="1"/>
  <c r="F23" i="26"/>
  <c r="F26" i="26" s="1"/>
  <c r="E23" i="26"/>
  <c r="E26" i="26" s="1"/>
  <c r="D23" i="26"/>
  <c r="D26" i="26" s="1"/>
  <c r="I30" i="25"/>
  <c r="F30" i="25"/>
  <c r="G30" i="25"/>
  <c r="E30" i="25"/>
  <c r="H9" i="25"/>
  <c r="H9" i="27" s="1"/>
  <c r="I48" i="2"/>
  <c r="I41" i="2"/>
  <c r="I31" i="2"/>
  <c r="C27" i="2"/>
  <c r="C26" i="2"/>
  <c r="I19" i="2"/>
  <c r="C55" i="2"/>
  <c r="C53" i="2"/>
  <c r="C52" i="2"/>
  <c r="C51" i="2"/>
  <c r="C50" i="2"/>
  <c r="C49" i="2"/>
  <c r="C48" i="2"/>
  <c r="C47" i="2"/>
  <c r="C45" i="2"/>
  <c r="C44" i="2"/>
  <c r="C43" i="2"/>
  <c r="C42" i="2"/>
  <c r="C41" i="2"/>
  <c r="C40" i="2"/>
  <c r="C38" i="2"/>
  <c r="C37" i="2"/>
  <c r="C36" i="2"/>
  <c r="C35" i="2"/>
  <c r="C34" i="2"/>
  <c r="C33" i="2"/>
  <c r="C32" i="2"/>
  <c r="C31" i="2"/>
  <c r="C30" i="2"/>
  <c r="C29" i="2"/>
  <c r="C25" i="2"/>
  <c r="C24" i="2"/>
  <c r="C23" i="2"/>
  <c r="C22" i="2"/>
  <c r="C21" i="2"/>
  <c r="C20" i="2"/>
  <c r="C19" i="2"/>
  <c r="C18" i="2"/>
  <c r="C16" i="2"/>
  <c r="C15" i="2"/>
  <c r="C14" i="2"/>
  <c r="C13" i="2"/>
  <c r="C12" i="2"/>
  <c r="C11" i="2"/>
  <c r="C10" i="2"/>
  <c r="C9" i="2"/>
  <c r="C8" i="2"/>
  <c r="C7" i="2"/>
  <c r="I9" i="2"/>
  <c r="I16" i="2" l="1"/>
  <c r="F9" i="25"/>
  <c r="D9" i="25"/>
  <c r="I9" i="25"/>
  <c r="H13" i="25"/>
  <c r="G9" i="25"/>
  <c r="E9" i="25"/>
  <c r="I38" i="2"/>
  <c r="G53" i="2"/>
  <c r="E53" i="2"/>
  <c r="F53" i="2"/>
  <c r="I53" i="2"/>
  <c r="D53" i="2"/>
  <c r="H53" i="2"/>
  <c r="H38" i="2"/>
  <c r="E13" i="25" l="1"/>
  <c r="E9" i="27"/>
  <c r="I13" i="25"/>
  <c r="I9" i="27"/>
  <c r="G13" i="25"/>
  <c r="G9" i="27"/>
  <c r="H16" i="25"/>
  <c r="H12" i="27"/>
  <c r="D13" i="25"/>
  <c r="D9" i="27"/>
  <c r="F13" i="25"/>
  <c r="F9" i="27"/>
  <c r="E31" i="27"/>
  <c r="D31" i="27"/>
  <c r="H45" i="2"/>
  <c r="G27" i="2"/>
  <c r="H27" i="2"/>
  <c r="I27" i="2"/>
  <c r="I27" i="27" s="1"/>
  <c r="D27" i="2"/>
  <c r="I45" i="2"/>
  <c r="E27" i="2"/>
  <c r="F27" i="2"/>
  <c r="F31" i="27" s="1"/>
  <c r="H55" i="2"/>
  <c r="E38" i="2"/>
  <c r="G38" i="2"/>
  <c r="F38" i="2"/>
  <c r="F27" i="27" s="1"/>
  <c r="D38" i="2"/>
  <c r="I16" i="25" l="1"/>
  <c r="I12" i="27"/>
  <c r="H18" i="25"/>
  <c r="H14" i="27"/>
  <c r="F16" i="25"/>
  <c r="F12" i="27"/>
  <c r="D16" i="25"/>
  <c r="D12" i="27"/>
  <c r="E16" i="25"/>
  <c r="E12" i="27"/>
  <c r="G16" i="25"/>
  <c r="G12" i="27"/>
  <c r="G26" i="27"/>
  <c r="G19" i="27"/>
  <c r="G20" i="27"/>
  <c r="G22" i="27"/>
  <c r="G25" i="27"/>
  <c r="G29" i="27"/>
  <c r="G23" i="27"/>
  <c r="G28" i="27"/>
  <c r="G24" i="27"/>
  <c r="G21" i="27"/>
  <c r="D26" i="27"/>
  <c r="D19" i="27"/>
  <c r="D25" i="27"/>
  <c r="D20" i="27"/>
  <c r="D24" i="27"/>
  <c r="D28" i="27"/>
  <c r="D29" i="27"/>
  <c r="D23" i="27"/>
  <c r="D22" i="27"/>
  <c r="D21" i="27"/>
  <c r="D27" i="27"/>
  <c r="G27" i="27"/>
  <c r="H26" i="27"/>
  <c r="H22" i="27"/>
  <c r="H24" i="27"/>
  <c r="H23" i="27"/>
  <c r="H20" i="27"/>
  <c r="H25" i="27"/>
  <c r="H28" i="27"/>
  <c r="H19" i="27"/>
  <c r="H29" i="27"/>
  <c r="H21" i="27"/>
  <c r="F26" i="27"/>
  <c r="F25" i="27"/>
  <c r="F20" i="27"/>
  <c r="F22" i="27"/>
  <c r="F29" i="27"/>
  <c r="F24" i="27"/>
  <c r="F28" i="27"/>
  <c r="F19" i="27"/>
  <c r="F23" i="27"/>
  <c r="F21" i="27"/>
  <c r="E26" i="27"/>
  <c r="E19" i="27"/>
  <c r="E22" i="27"/>
  <c r="E25" i="27"/>
  <c r="E20" i="27"/>
  <c r="E23" i="27"/>
  <c r="E28" i="27"/>
  <c r="E24" i="27"/>
  <c r="E29" i="27"/>
  <c r="E21" i="27"/>
  <c r="H31" i="27"/>
  <c r="G31" i="27"/>
  <c r="I26" i="27"/>
  <c r="I29" i="27"/>
  <c r="I25" i="27"/>
  <c r="I23" i="27"/>
  <c r="I24" i="27"/>
  <c r="I28" i="27"/>
  <c r="I20" i="27"/>
  <c r="I22" i="27"/>
  <c r="I19" i="27"/>
  <c r="I21" i="27"/>
  <c r="E27" i="27"/>
  <c r="I55" i="2"/>
  <c r="H27" i="27"/>
  <c r="I31" i="27"/>
  <c r="F45" i="2"/>
  <c r="G45" i="2"/>
  <c r="E45" i="2"/>
  <c r="D45" i="2"/>
  <c r="D55" i="2"/>
  <c r="E18" i="25" l="1"/>
  <c r="E14" i="27"/>
  <c r="I18" i="25"/>
  <c r="I14" i="27"/>
  <c r="D18" i="25"/>
  <c r="D14" i="27"/>
  <c r="F18" i="25"/>
  <c r="F14" i="27"/>
  <c r="G18" i="25"/>
  <c r="G14" i="27"/>
  <c r="H31" i="25"/>
  <c r="H16" i="27"/>
  <c r="G55" i="2"/>
  <c r="F55" i="2"/>
  <c r="E55" i="2"/>
  <c r="I31" i="25" l="1"/>
  <c r="I16" i="27"/>
  <c r="G31" i="25"/>
  <c r="G16" i="27"/>
  <c r="E31" i="25"/>
  <c r="E16" i="27"/>
  <c r="F31" i="25"/>
  <c r="F16" i="27"/>
  <c r="D16" i="27"/>
  <c r="D31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Asley</author>
  </authors>
  <commentList>
    <comment ref="D17" authorId="0" shapeId="0" xr:uid="{FDACD097-3743-4422-A5F0-DC1C884B0B3D}">
      <text>
        <r>
          <rPr>
            <b/>
            <sz val="9"/>
            <color indexed="81"/>
            <rFont val="Tahoma"/>
            <family val="2"/>
          </rPr>
          <t>Asley:</t>
        </r>
        <r>
          <rPr>
            <sz val="9"/>
            <color indexed="81"/>
            <rFont val="Tahoma"/>
            <family val="2"/>
          </rPr>
          <t xml:space="preserve">
Shareholders' equity was unusually thin (or negative) during FY2021-FY2024. Sustained share buybacks kept retained earnings in deficit for most of this window (see Financial Position tab). That makes ROE swing to extreme, not-very-meaningful values in those years (FY2022 is negative equity; FY2023 equity is only $28mm against $5B+ of assets). Equity rebuilt substantially in FY2025-FY2026. Flagged years should be read with that context, not at face value.</t>
        </r>
      </text>
    </comment>
    <comment ref="D27" authorId="0" shapeId="0" xr:uid="{6A65F4BA-24CA-4D96-8EF6-03D3674D823F}">
      <text>
        <r>
          <rPr>
            <b/>
            <sz val="9"/>
            <color indexed="81"/>
            <rFont val="Tahoma"/>
            <family val="2"/>
          </rPr>
          <t>Asley:</t>
        </r>
        <r>
          <rPr>
            <sz val="9"/>
            <color indexed="81"/>
            <rFont val="Tahoma"/>
            <family val="2"/>
          </rPr>
          <t xml:space="preserve">
Shareholders' equity was unusually thin (or negative) during FY2021-FY2024. Sustained share buybacks kept retained earnings in deficit for most of this window (see Financial Position tab). That makes ROE swing to extreme, not-very-meaningful values in those years (FY2022 is negative equity; FY2023 equity is only $28mm against $5B+ of assets). Equity rebuilt substantially in FY2025-FY2026. Flagged years should be read with that context, not at face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0" authorId="0" shapeId="0" xr:uid="{950967E5-E1EF-495F-B8B2-33AA1E9D93B4}">
      <text>
        <r>
          <rPr>
            <sz val="10"/>
            <rFont val="Arial"/>
            <family val="2"/>
          </rPr>
          <t>FY2021-FY2024: equity was thin or negative (FY2022) relative to a balance sheet north of $4B, so this multiplier is extreme or negative and not interpretable as "normal" leverage in those years. It normalizes in FY2025-FY2026 as equity rebuilt.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C2239854-4FC1-49F5-A092-A833D5B5F988}">
      <text>
        <r>
          <rPr>
            <sz val="10"/>
            <rFont val="Arial"/>
            <family val="2"/>
          </rPr>
          <t>&gt;1.0x means cash generation is outpacing accounting earnings — typically a good sign, common for a retailer with D&amp;A add-backs and IFRS 16 lease accounting.</t>
        </r>
      </text>
    </comment>
    <comment ref="B14" authorId="0" shapeId="0" xr:uid="{63DC3532-8DFC-4892-8407-659D766FAD5C}">
      <text>
        <r>
          <rPr>
            <sz val="10"/>
            <rFont val="Arial"/>
            <family val="2"/>
          </rPr>
          <t>Total capex above is stored as a negative outflow, so FCF = OCF + Total capex. This FCF definition nets out financing-lease principal repayments separately (they sit in financing activities under IFRS 16), even though store leases are core operating capacity — see README for the simplification and how a lease-adjusted FCF would look different.</t>
        </r>
      </text>
    </comment>
    <comment ref="B21" authorId="0" shapeId="0" xr:uid="{3CD64B4A-742C-4285-AED4-757188C02B3D}">
      <text>
        <r>
          <rPr>
            <sz val="10"/>
            <rFont val="Arial"/>
            <family val="2"/>
          </rPr>
          <t>Negative specifically in FY2022 and FY2023 — the two years FCF alone did not cover dividends plus buybacks. Those are also the two years with the largest new long-term debt issuances (see CF tab, financing activities: $750mm raised in FY2022, $700mm in FY2023), consistent with debt helping fund the buyback program in those specific years. In FY2021 and FY2024–FY2026, FCF alone covered shareholder returns with room to spare.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5" authorId="0" shapeId="0" xr:uid="{FE792BC7-92FF-4B14-8D35-E87F5FC863A0}">
      <text>
        <r>
          <rPr>
            <sz val="10"/>
            <rFont val="Arial"/>
            <family val="2"/>
          </rPr>
          <t>Below the trailing 3-yr CAGR (~12.8%, see reference above) since that figure is boosted by the FY2026 Australia acquisition (inorganic). 8% assumes organic growth roughly in line with recent store-count expansion, moderating as the Canadian store base matures.</t>
        </r>
      </text>
    </comment>
    <comment ref="B16" authorId="0" shapeId="0" xr:uid="{4AC3F8CF-0479-4C3B-A50D-2EB32BAF53D2}">
      <text>
        <r>
          <rPr>
            <sz val="10"/>
            <rFont val="Arial"/>
            <family val="2"/>
          </rPr>
          <t>Close to the FY2024–FY2026 average shown above.</t>
        </r>
      </text>
    </comment>
    <comment ref="B17" authorId="0" shapeId="0" xr:uid="{3A139CCF-AE9C-4F31-AAE4-3A03926D770D}">
      <text>
        <r>
          <rPr>
            <sz val="10"/>
            <rFont val="Arial"/>
            <family val="2"/>
          </rPr>
          <t>Close to the FY2024-FY2026 average shown above.</t>
        </r>
      </text>
    </comment>
    <comment ref="B18" authorId="0" shapeId="0" xr:uid="{0350EF2B-C6A3-439D-9208-E48F314A8B90}">
      <text>
        <r>
          <rPr>
            <sz val="10"/>
            <rFont val="Arial"/>
            <family val="2"/>
          </rPr>
          <t>Close to the FY2024–FY2026 average shown above.</t>
        </r>
      </text>
    </comment>
    <comment ref="B19" authorId="0" shapeId="0" xr:uid="{3BA02E01-3176-41BD-9D5A-A14B3C0C9BB2}">
      <text>
        <r>
          <rPr>
            <sz val="10"/>
            <rFont val="Arial"/>
            <family val="2"/>
          </rPr>
          <t>Close to the FY2024–FY2026 average shown above.</t>
        </r>
      </text>
    </comment>
    <comment ref="B20" authorId="0" shapeId="0" xr:uid="{03839392-C359-4034-B809-0D2DF6FC0B8B}">
      <text>
        <r>
          <rPr>
            <sz val="10"/>
            <rFont val="Arial"/>
            <family val="2"/>
          </rPr>
          <t>Simplifying assumption — held at 0. Working capital swings have been volatile historically (see CF tab); a more advanced version of this model would project this explicitly instead of assuming it away.</t>
        </r>
      </text>
    </comment>
    <comment ref="B21" authorId="0" shapeId="0" xr:uid="{0BEA53E5-DFAA-40B8-81A1-9EB35B1F90D9}">
      <text>
        <r>
          <rPr>
            <sz val="10"/>
            <rFont val="Arial"/>
            <family val="2"/>
          </rPr>
          <t>Roughly long-run Canadian nominal GDP growth — a standard, conservative terminal-growth proxy.</t>
        </r>
      </text>
    </comment>
    <comment ref="B64" authorId="0" shapeId="0" xr:uid="{168C98B3-63BE-4F83-90E9-167616C0F620}">
      <text>
        <r>
          <rPr>
            <sz val="10"/>
            <rFont val="Arial"/>
            <family val="2"/>
          </rPr>
          <t>Interest-bearing debt only (ST borrowings + current &amp; non-current LT debt). Excludes lease liabilities and does not add back the equity-accounted investments as a separate non-operating asset — both are simplifications flagged on the Ratios/README tabs.</t>
        </r>
      </text>
    </comment>
    <comment ref="B67" authorId="0" shapeId="0" xr:uid="{9D384103-A304-4308-9471-BA28CD73ECA9}">
      <text>
        <r>
          <rPr>
            <sz val="10"/>
            <rFont val="Arial"/>
            <family val="2"/>
          </rPr>
          <t>Equity value and diluted shares are both expressed in thousands ($000s and 000s of shares respectively), so they divide straight through to a $-per-share figure — no unit conversion needed.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CF3CBC-BDF7-47AF-A03B-1616D3B0FAFF}" keepAlive="1" name="Query - CF-2022_2021" description="Connection to the 'CF-2022_2021' query in the workbook." type="5" refreshedVersion="7" background="1" saveData="1">
    <dbPr connection="Provider=Microsoft.Mashup.OleDb.1;Data Source=$Workbook$;Location=CF-2022_2021;Extended Properties=&quot;&quot;" command="SELECT * FROM [CF-2022_2021]"/>
  </connection>
  <connection id="2" xr16:uid="{857ED652-6B73-4969-B140-62F0E7F3A67E}" keepAlive="1" name="Query - CF-2024_2023" description="Connection to the 'CF-2024_2023' query in the workbook." type="5" refreshedVersion="7" background="1" saveData="1">
    <dbPr connection="Provider=Microsoft.Mashup.OleDb.1;Data Source=$Workbook$;Location=CF-2024_2023;Extended Properties=&quot;&quot;" command="SELECT * FROM [CF-2024_2023]"/>
  </connection>
  <connection id="3" xr16:uid="{428D1677-E456-44F0-BE0D-D2ED67992FFE}" keepAlive="1" name="Query - CF-2026_2021" description="Connection to the 'CF-2026_2021' query in the workbook." type="5" refreshedVersion="7" background="1" saveData="1">
    <dbPr connection="Provider=Microsoft.Mashup.OleDb.1;Data Source=$Workbook$;Location=CF-2026_2021;Extended Properties=&quot;&quot;" command="SELECT * FROM [CF-2026_2021]"/>
  </connection>
  <connection id="4" xr16:uid="{BF2C3D92-0B6C-4E81-B9F9-FEE0B8E5C2B1}" keepAlive="1" name="Query - CF-2026_2025" description="Connection to the 'CF-2026_2025' query in the workbook." type="5" refreshedVersion="7" background="1" saveData="1">
    <dbPr connection="Provider=Microsoft.Mashup.OleDb.1;Data Source=$Workbook$;Location=CF-2026_2025;Extended Properties=&quot;&quot;" command="SELECT * FROM [CF-2026_2025]"/>
  </connection>
  <connection id="5" xr16:uid="{7E90357C-D207-43C7-9045-CFFCE39DD7F2}" keepAlive="1" name="Query - FP-2022_2021" description="Connection to the 'FP-2022_2021' query in the workbook." type="5" refreshedVersion="7" background="1" saveData="1">
    <dbPr connection="Provider=Microsoft.Mashup.OleDb.1;Data Source=$Workbook$;Location=FP-2022_2021;Extended Properties=&quot;&quot;" command="SELECT * FROM [FP-2022_2021]"/>
  </connection>
  <connection id="6" xr16:uid="{404D0824-9FDA-4A46-B90E-60E31DAF6D33}" keepAlive="1" name="Query - FP-2023_2022" description="Connection to the 'FP-2023_2022' query in the workbook." type="5" refreshedVersion="7" background="1" saveData="1">
    <dbPr connection="Provider=Microsoft.Mashup.OleDb.1;Data Source=$Workbook$;Location=FP-2023_2022;Extended Properties=&quot;&quot;" command="SELECT * FROM [FP-2023_2022]"/>
  </connection>
  <connection id="7" xr16:uid="{650E7B1E-4D4A-49DC-A45C-78653A1F581A}" keepAlive="1" name="Query - FP-2024_2023" description="Connection to the 'FP-2024_2023' query in the workbook." type="5" refreshedVersion="7" background="1" saveData="1">
    <dbPr connection="Provider=Microsoft.Mashup.OleDb.1;Data Source=$Workbook$;Location=FP-2024_2023;Extended Properties=&quot;&quot;" command="SELECT * FROM [FP-2024_2023]"/>
  </connection>
  <connection id="8" xr16:uid="{A46E2225-B643-4245-B052-B204A2AFE703}" keepAlive="1" name="Query - FP-2025_2024" description="Connection to the 'FP-2025_2024' query in the workbook." type="5" refreshedVersion="7" background="1" saveData="1">
    <dbPr connection="Provider=Microsoft.Mashup.OleDb.1;Data Source=$Workbook$;Location=FP-2025_2024;Extended Properties=&quot;&quot;" command="SELECT * FROM [FP-2025_2024]"/>
  </connection>
  <connection id="9" xr16:uid="{D2598E9A-04D4-4E36-801B-746060FBAF80}" keepAlive="1" name="Query - FP-2026_2021" description="Connection to the 'FP-2026_2021' query in the workbook." type="5" refreshedVersion="7" background="1" saveData="1">
    <dbPr connection="Provider=Microsoft.Mashup.OleDb.1;Data Source=$Workbook$;Location=FP-2026_2021;Extended Properties=&quot;&quot;" command="SELECT * FROM [FP-2026_2021]"/>
  </connection>
  <connection id="10" xr16:uid="{47F3D54F-176B-4EF4-8FBE-BD55151EEEE4}" keepAlive="1" name="Query - FP-2026_2025" description="Connection to the 'FP-2026_2025' query in the workbook." type="5" refreshedVersion="7" background="1" saveData="1">
    <dbPr connection="Provider=Microsoft.Mashup.OleDb.1;Data Source=$Workbook$;Location=FP-2026_2025;Extended Properties=&quot;&quot;" command="SELECT * FROM [FP-2026_2025]"/>
  </connection>
  <connection id="11" xr16:uid="{AFD618D5-3BD3-46DE-B0D9-F5B781B922DC}" keepAlive="1" name="Query - IS-2022_2021" description="Connection to the 'IS-2022_2021' query in the workbook." type="5" refreshedVersion="7" background="1" saveData="1">
    <dbPr connection="Provider=Microsoft.Mashup.OleDb.1;Data Source=$Workbook$;Location=IS-2022_2021;Extended Properties=&quot;&quot;" command="SELECT * FROM [IS-2022_2021]"/>
  </connection>
  <connection id="12" xr16:uid="{4059C8D1-0AA8-474D-AD1C-24D52AE98FD7}" keepAlive="1" name="Query - IS-2024_2023" description="Connection to the 'IS-2024_2023' query in the workbook." type="5" refreshedVersion="7" background="1" saveData="1">
    <dbPr connection="Provider=Microsoft.Mashup.OleDb.1;Data Source=$Workbook$;Location=IS-2024_2023;Extended Properties=&quot;&quot;" command="SELECT * FROM [IS-2024_2023]"/>
  </connection>
  <connection id="13" xr16:uid="{6B1115CF-858A-4869-B93E-B889AD3E782B}" keepAlive="1" name="Query - IS-2026_2021" description="Connection to the 'IS-2026_2021' query in the workbook." type="5" refreshedVersion="7" background="1" saveData="1">
    <dbPr connection="Provider=Microsoft.Mashup.OleDb.1;Data Source=$Workbook$;Location=IS-2026_2021;Extended Properties=&quot;&quot;" command="SELECT * FROM [IS-2026_2021]"/>
  </connection>
  <connection id="14" xr16:uid="{6C522D31-CE4C-4B97-BAE5-EF5804F74C7F}" keepAlive="1" name="Query - IS-2026_2025" description="Connection to the 'IS-2026_2025' query in the workbook." type="5" refreshedVersion="7" background="1" saveData="1">
    <dbPr connection="Provider=Microsoft.Mashup.OleDb.1;Data Source=$Workbook$;Location=IS-2026_2025;Extended Properties=&quot;&quot;" command="SELECT * FROM [IS-2026_2025]"/>
  </connection>
</connections>
</file>

<file path=xl/sharedStrings.xml><?xml version="1.0" encoding="utf-8"?>
<sst xmlns="http://schemas.openxmlformats.org/spreadsheetml/2006/main" count="423" uniqueCount="268">
  <si>
    <t>Assets</t>
  </si>
  <si>
    <t>Current assets</t>
  </si>
  <si>
    <t>Cash and cash equivalents</t>
  </si>
  <si>
    <t>Accounts receivable</t>
  </si>
  <si>
    <t>Income taxes receivable</t>
  </si>
  <si>
    <t>Distributions receivable from equity-accounted investments</t>
  </si>
  <si>
    <t>Prepaid expenses</t>
  </si>
  <si>
    <t>Inventories</t>
  </si>
  <si>
    <t>Derivative financial instruments</t>
  </si>
  <si>
    <t>Total current assets</t>
  </si>
  <si>
    <t>Non-current assets</t>
  </si>
  <si>
    <t>Right-of-use assets</t>
  </si>
  <si>
    <t>Property, plant and equipment</t>
  </si>
  <si>
    <t>Intangible assets</t>
  </si>
  <si>
    <t>Goodwill</t>
  </si>
  <si>
    <t>Equity-accounted investments</t>
  </si>
  <si>
    <t>Derivative on equity-accounted investments</t>
  </si>
  <si>
    <t>Deferred income taxes</t>
  </si>
  <si>
    <t>Total assets</t>
  </si>
  <si>
    <t>Liabilities and shareholders' equity</t>
  </si>
  <si>
    <t>Current liabilities</t>
  </si>
  <si>
    <t>Accounts payable and accrued liabilities</t>
  </si>
  <si>
    <t>Dividend payable</t>
  </si>
  <si>
    <t>Income taxes payable</t>
  </si>
  <si>
    <t>Current portion of long-term debt</t>
  </si>
  <si>
    <t>Current portion of lease liabilities</t>
  </si>
  <si>
    <t>Total current liabilities</t>
  </si>
  <si>
    <t>Non-current liabilities</t>
  </si>
  <si>
    <t>Non-current provisions and other liabilities</t>
  </si>
  <si>
    <t>Non-current portion of long-term debt</t>
  </si>
  <si>
    <t>Non-current portion of lease liabilities</t>
  </si>
  <si>
    <t>Total liabilities</t>
  </si>
  <si>
    <t>Shareholders' equity</t>
  </si>
  <si>
    <t>Share capital</t>
  </si>
  <si>
    <t>Treasury shares</t>
  </si>
  <si>
    <t>Contributed surplus</t>
  </si>
  <si>
    <t>Retained earnings (Deficit)</t>
  </si>
  <si>
    <t>Accumulated other comprehensive income</t>
  </si>
  <si>
    <t>Total shareholders' equity</t>
  </si>
  <si>
    <t>Total liabilities and shareholders' equity</t>
  </si>
  <si>
    <t>Short-term borrowings</t>
  </si>
  <si>
    <t>Index</t>
  </si>
  <si>
    <t>FY2024</t>
  </si>
  <si>
    <t>FY2023</t>
  </si>
  <si>
    <t>FY2026</t>
  </si>
  <si>
    <t>FY2025</t>
  </si>
  <si>
    <t>LineItem</t>
  </si>
  <si>
    <t>FY2022</t>
  </si>
  <si>
    <t>FY2021</t>
  </si>
  <si>
    <t>Dollarama Inc.</t>
  </si>
  <si>
    <t>(Expressed in thousands of Canadian dollars)</t>
  </si>
  <si>
    <t>Consolidated Statements of Financial Position 2026-2021</t>
  </si>
  <si>
    <t>Sales</t>
  </si>
  <si>
    <t>Cost of sales</t>
  </si>
  <si>
    <t>Gross profit</t>
  </si>
  <si>
    <t>General, administrative and store operating expenses</t>
  </si>
  <si>
    <t>Depreciation and amortization</t>
  </si>
  <si>
    <t>Share of net earnings of equity-accounted investments</t>
  </si>
  <si>
    <t>Operating income</t>
  </si>
  <si>
    <t>Unrealized gain from derivative on equity-accounted investments</t>
  </si>
  <si>
    <t>Net financing costs</t>
  </si>
  <si>
    <t>Earnings before income taxes</t>
  </si>
  <si>
    <t>Income taxes</t>
  </si>
  <si>
    <t>Net earnings</t>
  </si>
  <si>
    <t>Other comprehensive income (loss)</t>
  </si>
  <si>
    <t>Items that may be reclassified subsequently to net earnings</t>
  </si>
  <si>
    <t>Reclassification of amortization of net gains on derivative financial instruments not subject to basis adjustments</t>
  </si>
  <si>
    <t>Foreign currency translation adjustments</t>
  </si>
  <si>
    <t>Share of other comprehensive income (loss) of equity-accounted investments</t>
  </si>
  <si>
    <t>Income tax recovery relating to components of OCI that may be reclassified to net earnings</t>
  </si>
  <si>
    <t>Items that will not be reclassified subsequently to net earnings</t>
  </si>
  <si>
    <t>Unrealized gains (losses) on derivative financial instruments subject to basis adjustments</t>
  </si>
  <si>
    <t>Income tax recovery (expense) relating to components of OCI that will not be reclassified to net earnings</t>
  </si>
  <si>
    <t>Total other comprehensive income (loss), net of income taxes</t>
  </si>
  <si>
    <t>Total comprehensive income</t>
  </si>
  <si>
    <t>Earnings per common share</t>
  </si>
  <si>
    <t>Basic net earnings per common share</t>
  </si>
  <si>
    <t>Diluted net earnings per common share</t>
  </si>
  <si>
    <t>Weighted average number of common shares outstanding (thousands)</t>
  </si>
  <si>
    <t>Weighted average number of diluted common shares outstanding (thousands)</t>
  </si>
  <si>
    <t>Realized gains on financial instruments not subject to basis adjustments</t>
  </si>
  <si>
    <t>Gross margin</t>
  </si>
  <si>
    <t>Operating activities</t>
  </si>
  <si>
    <t>Adjustments to reconcile net earnings to net cash generated from operating activities:</t>
  </si>
  <si>
    <t>Depreciation of PP&amp;E, ROU assets and amortization of intangible assets</t>
  </si>
  <si>
    <t>Share-based compensation</t>
  </si>
  <si>
    <t>Interest received</t>
  </si>
  <si>
    <t>Other</t>
  </si>
  <si>
    <t>Cash generated from operations before working capital changes</t>
  </si>
  <si>
    <t>Changes in non-cash working capital components</t>
  </si>
  <si>
    <t>Net cash generated from operating activities</t>
  </si>
  <si>
    <t>Investing activities</t>
  </si>
  <si>
    <t>Acquisition of a business, net of cash acquired</t>
  </si>
  <si>
    <t>Addition to equity-accounted investments</t>
  </si>
  <si>
    <t>Distributions from equity-accounted investments</t>
  </si>
  <si>
    <t>Additions to property, plant and equipment</t>
  </si>
  <si>
    <t>Additions to intangible assets</t>
  </si>
  <si>
    <t>Initial direct costs on right-of-use assets</t>
  </si>
  <si>
    <t>Proceeds from disposal of property, plant and equipment</t>
  </si>
  <si>
    <t>Net cash used in investing activities</t>
  </si>
  <si>
    <t>Financing activities</t>
  </si>
  <si>
    <t>Proceeds from long-term debt issued</t>
  </si>
  <si>
    <t>Repayment of long-term debt</t>
  </si>
  <si>
    <t>Interest paid on long-term debt, long-term financing arrangements and short-term borrowings</t>
  </si>
  <si>
    <t>Payment of debt issue costs</t>
  </si>
  <si>
    <t>Net payment of lease liabilities</t>
  </si>
  <si>
    <t>Issuance of common shares</t>
  </si>
  <si>
    <t>Dividends paid</t>
  </si>
  <si>
    <t>Repurchase and cancellation of common shares</t>
  </si>
  <si>
    <t>Repurchase of treasury shares, net of dividends</t>
  </si>
  <si>
    <t>Performance share units settlement</t>
  </si>
  <si>
    <t>Net cash used in financing activities</t>
  </si>
  <si>
    <t>Change in cash and cash equivalents</t>
  </si>
  <si>
    <t>Cash and cash equivalents – beginning of year</t>
  </si>
  <si>
    <t>Cash and cash equivalents – end of year</t>
  </si>
  <si>
    <t>Supplemental information:</t>
  </si>
  <si>
    <t>Interest paid on lease liabilities</t>
  </si>
  <si>
    <t>Repayment of short-term borrowings</t>
  </si>
  <si>
    <t>Proceeds on bond forward settlement</t>
  </si>
  <si>
    <t>Amortization of debt issue costs</t>
  </si>
  <si>
    <t>Amortization of net gains on bond lock and bond forward contracts</t>
  </si>
  <si>
    <t>Financing costs on short-term borrowings and long-term debt and realized gains (losses) on financial instruments</t>
  </si>
  <si>
    <t>Gain on lease remeasurements</t>
  </si>
  <si>
    <t>Proceeds from long-term debt issued (1.505% Fixed Rate Notes)</t>
  </si>
  <si>
    <t>Proceeds from long-term debt issued (1.871% Fixed Rate Notes)</t>
  </si>
  <si>
    <t>Proceeds from long-term debt issued (2.443% Fixed Rate Notes)</t>
  </si>
  <si>
    <t>Net proceeds from short-term borrowings</t>
  </si>
  <si>
    <t>Repayment of the Series 2 Floating Rate Notes or the Series 3 Floating Rate Notes (as applicable)</t>
  </si>
  <si>
    <t>Repayment of the 2.337% Fixed Rate Notes</t>
  </si>
  <si>
    <t>Line Item (CAD $ Thousands)</t>
  </si>
  <si>
    <t>Consolidated Income Statement 2026-2021</t>
  </si>
  <si>
    <t>Consolidated Cash Flow Statement 2026-2021</t>
  </si>
  <si>
    <t>Common-Size Statements (Vertical Analysis)</t>
  </si>
  <si>
    <t>(% of Sales / % of Total assets)</t>
  </si>
  <si>
    <t>Income statement items as % of Sales &lt;=&gt; Balance sheet items as % of Total assets</t>
  </si>
  <si>
    <t>G&amp;A and store operating expenses</t>
  </si>
  <si>
    <t>Income statement - % of Sales</t>
  </si>
  <si>
    <t>Balance sheet - % of Total assets</t>
  </si>
  <si>
    <t>Ratio Analysis</t>
  </si>
  <si>
    <t>All ratios use fiscal year-end (not average) balance sheet figures for consistency across all 6 years</t>
  </si>
  <si>
    <t>(CAD $ thousands)</t>
  </si>
  <si>
    <t>Liquidity</t>
  </si>
  <si>
    <t>Profitability</t>
  </si>
  <si>
    <t>Efficiency</t>
  </si>
  <si>
    <t>Leverage</t>
  </si>
  <si>
    <t>Current ratio (Current assets / Current liabilities)</t>
  </si>
  <si>
    <t>Quick ratio ((Current assets − Inventory − Prepaid) / Current liabilities)</t>
  </si>
  <si>
    <t>Working capital ($ thousands)</t>
  </si>
  <si>
    <t>Operating margin</t>
  </si>
  <si>
    <t>Net margin</t>
  </si>
  <si>
    <t>Return on assets (Net earnings / Total assets, year-end)</t>
  </si>
  <si>
    <t>Return on equity (Net earnings / Total equity, year-end)</t>
  </si>
  <si>
    <t>Inventory turnover (COGS / Inventory, year-end)</t>
  </si>
  <si>
    <t>Days inventory outstanding (365 / Inventory turnover)</t>
  </si>
  <si>
    <t>Days payable outstanding (AP / COGS × 365)</t>
  </si>
  <si>
    <t>Days sales outstanding (AR / Sales × 365)</t>
  </si>
  <si>
    <t>Asset turnover (Sales / Total assets, year-end)</t>
  </si>
  <si>
    <t>Total liabilities / Total equity</t>
  </si>
  <si>
    <t>Total liabilities / Total assets</t>
  </si>
  <si>
    <t>EBITDA (Operating income + D&amp;A, per income statement)</t>
  </si>
  <si>
    <t>Interest-bearing debt (ST borrowings + current &amp; non-current LT debt)</t>
  </si>
  <si>
    <t>Net debt / EBITDA ((Interest-bearing debt − Cash) / EBITDA)</t>
  </si>
  <si>
    <t>Interest coverage (Operating income / Net financing costs)</t>
  </si>
  <si>
    <t>Forecast &amp; Simplified DCF Valuation (Illustrative)</t>
  </si>
  <si>
    <t>FY2027E</t>
  </si>
  <si>
    <t>FY2028E</t>
  </si>
  <si>
    <t>FY2029E</t>
  </si>
  <si>
    <t>Historical reference (for calibrating assumptions below)</t>
  </si>
  <si>
    <t>Assumptions</t>
  </si>
  <si>
    <t>Projected income statement &amp; unlevered free cash flow</t>
  </si>
  <si>
    <t>Simplified DCF</t>
  </si>
  <si>
    <t>WACC ↓  /  Terminal growth →</t>
  </si>
  <si>
    <t>Revenue 5-yr CAGR (FY2021→FY2026)</t>
  </si>
  <si>
    <t>Revenue 3-yr CAGR (FY2023→FY2026)</t>
  </si>
  <si>
    <t>Average operating margin, FY2024–FY2026</t>
  </si>
  <si>
    <t>Average effective tax rate, FY2024–FY2026</t>
  </si>
  <si>
    <t>Average D&amp;A % of sales, FY2024–FY2026</t>
  </si>
  <si>
    <t>Average total capex % of sales, FY2024–FY2026</t>
  </si>
  <si>
    <t>Revenue growth rate</t>
  </si>
  <si>
    <t>Effective tax rate</t>
  </si>
  <si>
    <t>D&amp;A % of sales</t>
  </si>
  <si>
    <t>Capex % of sales</t>
  </si>
  <si>
    <t>Change in net working capital (% of incremental sales)</t>
  </si>
  <si>
    <t>Terminal (perpetuity) growth rate</t>
  </si>
  <si>
    <t>EBIT (Sales × Operating margin)</t>
  </si>
  <si>
    <t>Less: taxes on EBIT</t>
  </si>
  <si>
    <t>NOPAT</t>
  </si>
  <si>
    <t>Plus: D&amp;A</t>
  </si>
  <si>
    <t>Less: Capex</t>
  </si>
  <si>
    <t>Less: Increase in net working capital</t>
  </si>
  <si>
    <t>Unlevered free cash flow</t>
  </si>
  <si>
    <t>Discount factor (1 / (1+WACC)^t)</t>
  </si>
  <si>
    <t>PV of unlevered FCF</t>
  </si>
  <si>
    <t>Terminal value (Gordon growth, end of FY2029E)</t>
  </si>
  <si>
    <t>PV of terminal value</t>
  </si>
  <si>
    <t>Enterprise value</t>
  </si>
  <si>
    <t>Less: Net debt (interest-bearing debt − cash, FY2026)</t>
  </si>
  <si>
    <t>Implied equity value</t>
  </si>
  <si>
    <t>Diluted shares outstanding (FY2026, held flat)</t>
  </si>
  <si>
    <t>Implied value per share</t>
  </si>
  <si>
    <t>Cash Flow Quality</t>
  </si>
  <si>
    <t>Tests whether reported earnings are backed by real cash generation, and how much cash is left over after reinvesting in the store network.</t>
  </si>
  <si>
    <t>Net cash from operating activities (OCF)</t>
  </si>
  <si>
    <t>Cash conversion (OCF / Net earnings)</t>
  </si>
  <si>
    <t>Total capex</t>
  </si>
  <si>
    <t>FCF margin (FCF / Sales)</t>
  </si>
  <si>
    <t>Capex / Sales</t>
  </si>
  <si>
    <t>Memo: net lease liability principal repayments (financing activities)</t>
  </si>
  <si>
    <t>Memo: share repurchases + treasury share activity</t>
  </si>
  <si>
    <t>Memo: dividends paid</t>
  </si>
  <si>
    <t>FCF less dividends &amp; buybacks (cash left after shareholder returns)</t>
  </si>
  <si>
    <t>Risk-free rate (Canada 10-yr government bond yield)</t>
  </si>
  <si>
    <t>Equity beta</t>
  </si>
  <si>
    <t>Equity risk premium</t>
  </si>
  <si>
    <t>Cost of Equity</t>
  </si>
  <si>
    <t>Cost of equity (CAPM)</t>
  </si>
  <si>
    <t>Cost of debt</t>
  </si>
  <si>
    <t>Pre-tax cost of debt</t>
  </si>
  <si>
    <t>After-tax cost of debt</t>
  </si>
  <si>
    <t>Implied pre-tax cost of lease financing (lease liab. Interest / total lease liab.)</t>
  </si>
  <si>
    <t>After-tax cost of lease financing</t>
  </si>
  <si>
    <t>Recent share price (CAD $)</t>
  </si>
  <si>
    <t>Market value of equity (share price x diluted shares)</t>
  </si>
  <si>
    <t>Market value of debt (book value used as a proxy)</t>
  </si>
  <si>
    <t>Market value of lease liabilities (book value)</t>
  </si>
  <si>
    <t>Total capital</t>
  </si>
  <si>
    <t>Weight (equity)</t>
  </si>
  <si>
    <t>Weight (debt)</t>
  </si>
  <si>
    <t>Weight (lease liabilities)</t>
  </si>
  <si>
    <t>WACC estimation</t>
  </si>
  <si>
    <t>Sum of PV of explicit-period FCF (FY2027E-FY2029E)</t>
  </si>
  <si>
    <r>
      <t>This is a simplified, unlevered-FCF DCF for practice/demonstration =&gt;</t>
    </r>
    <r>
      <rPr>
        <b/>
        <i/>
        <u/>
        <sz val="10"/>
        <color rgb="FF595959"/>
        <rFont val="Arial"/>
        <family val="2"/>
      </rPr>
      <t xml:space="preserve"> this is</t>
    </r>
    <r>
      <rPr>
        <i/>
        <u/>
        <sz val="10"/>
        <color rgb="FF595959"/>
        <rFont val="Arial"/>
        <family val="2"/>
      </rPr>
      <t xml:space="preserve"> </t>
    </r>
    <r>
      <rPr>
        <b/>
        <i/>
        <u/>
        <sz val="10"/>
        <color rgb="FF595959"/>
        <rFont val="Arial"/>
        <family val="2"/>
      </rPr>
      <t>not investment advice</t>
    </r>
    <r>
      <rPr>
        <i/>
        <sz val="10"/>
        <color rgb="FF595959"/>
        <rFont val="Arial"/>
        <family val="2"/>
      </rPr>
      <t xml:space="preserve"> and not a substitute for a full model. So, keep that in mind.</t>
    </r>
  </si>
  <si>
    <t>Sensitivity - implied value per share by WACC (rows) × terminal growth rate (columns)</t>
  </si>
  <si>
    <t>Company Financial Analysis + Valuation</t>
  </si>
  <si>
    <t>What's included:</t>
  </si>
  <si>
    <t>Common Analysis</t>
  </si>
  <si>
    <t>Ratio analysis</t>
  </si>
  <si>
    <t>Cash Flow quality analysis</t>
  </si>
  <si>
    <t>Forecast + Valuation</t>
  </si>
  <si>
    <t>Financial position</t>
  </si>
  <si>
    <t>Income statement</t>
  </si>
  <si>
    <t>Cash flow statement</t>
  </si>
  <si>
    <t>FY2021-FY2026</t>
  </si>
  <si>
    <t>By Asley Lopez Robleto</t>
  </si>
  <si>
    <t>Capex, such as property, plant and equipment</t>
  </si>
  <si>
    <t>Capex, such as intangible assets</t>
  </si>
  <si>
    <t>Free cash flow (OCF - Total capex)</t>
  </si>
  <si>
    <t>M&amp;A Spotlight: The Reject Shop / Dollarama Australia Acquisition</t>
  </si>
  <si>
    <t>What the three core statements show directly</t>
  </si>
  <si>
    <t>(CAD $ thousands, unless noted)</t>
  </si>
  <si>
    <t>What we can and cannot conclude from IS / BS / CF alone</t>
  </si>
  <si>
    <t>Goodwill, prior year-end</t>
  </si>
  <si>
    <t>Goodwill, current year-end</t>
  </si>
  <si>
    <t>Implied change in goodwill</t>
  </si>
  <si>
    <t>Cash paid for acquisition, net of cash acquired (CF, investing)</t>
  </si>
  <si>
    <t>Closed July 21, 2025 (within FY2026, which ended Feb 1, 2026) =&gt; Dollarama acquired The Reject Shop Limited, an Australian discount retailer, now operating as Dollarama Australia Pty Limited. This is the first year the three core statements reflect a Canada + Australia segment structure.</t>
  </si>
  <si>
    <t>Goodwill rose by the amount shown above between FY2025 and FY2026. That change is consistent with a purchase-price allocation from the acquisition, but goodwill can also move from FX translation of an existing foreign-currency goodwill balance. It's important to say we cannot separate the two effects from these three.</t>
  </si>
  <si>
    <t>The $181.8mm cash outflow for 'Acquisition of a business, net of cash acquired' is the actual purchase consideration paid in cash; it does not by itself tell us the fair value of assets acquired, liabilities assumed, or any non-controlling interest recognized. So, keep that in mind.</t>
  </si>
  <si>
    <t>FY2026's foreign currency translation adjustment on the income statement (-$70.2mm, the largest in the six-year window) is consistent with the business gaining a new AUD-denominated subsidiary that now needs retranslation each period.</t>
  </si>
  <si>
    <t>Equity-accounted investments also jumped materially in FY2025=&gt;FY2026 (see Income Statement tab), but that looks driven by Dollarama's existing equity-method holdings (e.g., Dollarcity) rather than this acquisition, since the purchase is booked as a separate consolidated-subsidiary line, not through the equity-method investment balance.</t>
  </si>
  <si>
    <t>DuPont ROE Decomposition</t>
  </si>
  <si>
    <t>ROE = Net margin × Asset turnover × Equity multiplier. Decomposes WHY ROE moved: pricing/cost control, asset efficiency, or leverage.</t>
  </si>
  <si>
    <r>
      <rPr>
        <b/>
        <i/>
        <sz val="10"/>
        <color rgb="FF595959"/>
        <rFont val="Arial"/>
        <family val="2"/>
      </rPr>
      <t>Important note</t>
    </r>
    <r>
      <rPr>
        <i/>
        <sz val="10"/>
        <color rgb="FF595959"/>
        <rFont val="Arial"/>
        <family val="2"/>
      </rPr>
      <t>: FY2021-FY2024 are flagged: equity was thin or negative through sustained buybacks, so the equity multiplier and ROE are extreme and not very meaningful in those years. =&gt; read the trend into FY2025-FY2026 (when equity rebuilt), not the FY2021-FY2024 levels at face value.</t>
    </r>
  </si>
  <si>
    <t>Net margin (Net earnings / Sales)</t>
  </si>
  <si>
    <t>Asset turnover (Sales / Total assets)</t>
  </si>
  <si>
    <t>Equity multiplier (Total assets / Total equity)</t>
  </si>
  <si>
    <t>ROE (Net margin × Asset turnover × Equity multiplier)</t>
  </si>
  <si>
    <t>ROE (Net earnings / Total equity, direct)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</si>
</sst>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\$#,##0;&quot;($&quot;#,##0\);\-"/>
    <numFmt numFmtId="165" formatCode="_-&quot;$&quot;* #,##0_-;\-&quot;$&quot;* #,##0_-;_-&quot;$&quot;* &quot;-&quot;??_-;_-@_-"/>
    <numFmt numFmtId="166" formatCode="0.0%"/>
    <numFmt numFmtId="167" formatCode="\$#,##0.00;&quot;($&quot;#,##0.00\);\-"/>
    <numFmt numFmtId="168" formatCode="_-* #,##0_-;\-* #,##0_-;_-* &quot;-&quot;??_-;_-@_-"/>
    <numFmt numFmtId="169" formatCode="0.0%;\(0.0%\);\-"/>
    <numFmt numFmtId="170" formatCode="#,##0;\(#,##0\);\-"/>
    <numFmt numFmtId="171" formatCode="0.00\x"/>
    <numFmt numFmtId="172" formatCode="0.000"/>
    <numFmt numFmtId="173" formatCode="0.00%;\(0.00%\);\-"/>
    <numFmt numFmtId="174" formatCode="0.000\x"/>
    <numFmt numFmtId="175" formatCode="\ \ #,##0.00\ &quot;days&quot;;&quot;(&quot;#,##0.00\ &quot;days&quot;\);\-"/>
    <numFmt numFmtId="176" formatCode="\ #,##0.00%;&quot;(&quot;#,##0.00%\);\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i/>
      <sz val="1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4" tint="-0.499984740745262"/>
      <name val="Arial"/>
      <family val="2"/>
    </font>
    <font>
      <i/>
      <sz val="10"/>
      <color rgb="FF595959"/>
      <name val="Arial"/>
      <family val="2"/>
    </font>
    <font>
      <b/>
      <sz val="10"/>
      <color rgb="FF1F4E78"/>
      <name val="Arial"/>
      <family val="2"/>
    </font>
    <font>
      <b/>
      <sz val="14"/>
      <color theme="4" tint="-0.499984740745262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  <font>
      <i/>
      <sz val="10"/>
      <color rgb="FF595959"/>
      <name val="Arial"/>
      <charset val="1"/>
    </font>
    <font>
      <b/>
      <sz val="10"/>
      <color rgb="FF1F4E78"/>
      <name val="Arial"/>
      <charset val="1"/>
    </font>
    <font>
      <b/>
      <i/>
      <u/>
      <sz val="10"/>
      <color rgb="FF595959"/>
      <name val="Arial"/>
      <family val="2"/>
    </font>
    <font>
      <sz val="11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00"/>
      <name val="Arial"/>
      <family val="2"/>
    </font>
    <font>
      <i/>
      <sz val="9"/>
      <color rgb="FF7F7F7F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i/>
      <u/>
      <sz val="10"/>
      <color rgb="FF595959"/>
      <name val="Arial"/>
      <family val="2"/>
    </font>
    <font>
      <i/>
      <sz val="10"/>
      <name val="Arial"/>
      <family val="2"/>
    </font>
    <font>
      <b/>
      <i/>
      <sz val="10"/>
      <color rgb="FF59595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CCFFFF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D9E1F2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FCE4D6"/>
      </patternFill>
    </fill>
    <fill>
      <patternFill patternType="solid">
        <fgColor theme="9" tint="-0.249977111117893"/>
        <bgColor rgb="FFFCE4D6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</cellStyleXfs>
  <cellXfs count="150"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6" fontId="0" fillId="0" borderId="0" xfId="2" applyNumberFormat="1" applyFont="1"/>
    <xf numFmtId="165" fontId="2" fillId="0" borderId="0" xfId="1" applyNumberFormat="1" applyFont="1"/>
    <xf numFmtId="0" fontId="20" fillId="0" borderId="0" xfId="0" applyFont="1" applyFill="1" applyBorder="1" applyAlignment="1">
      <alignment wrapText="1"/>
    </xf>
    <xf numFmtId="164" fontId="20" fillId="0" borderId="0" xfId="0" applyNumberFormat="1" applyFont="1" applyFill="1" applyBorder="1"/>
    <xf numFmtId="0" fontId="24" fillId="0" borderId="0" xfId="0" applyFont="1" applyFill="1" applyBorder="1" applyAlignment="1">
      <alignment wrapText="1"/>
    </xf>
    <xf numFmtId="0" fontId="14" fillId="2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vertical="center" wrapText="1"/>
    </xf>
    <xf numFmtId="164" fontId="20" fillId="0" borderId="0" xfId="0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vertical="center" wrapText="1"/>
    </xf>
    <xf numFmtId="0" fontId="23" fillId="6" borderId="0" xfId="0" applyFont="1" applyFill="1" applyBorder="1" applyAlignment="1">
      <alignment vertical="center" wrapText="1"/>
    </xf>
    <xf numFmtId="164" fontId="23" fillId="6" borderId="0" xfId="0" applyNumberFormat="1" applyFont="1" applyFill="1" applyBorder="1" applyAlignment="1">
      <alignment vertical="center"/>
    </xf>
    <xf numFmtId="164" fontId="2" fillId="6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0" fontId="24" fillId="0" borderId="0" xfId="0" applyFont="1" applyFill="1" applyBorder="1" applyAlignment="1">
      <alignment vertical="center" wrapText="1"/>
    </xf>
    <xf numFmtId="164" fontId="23" fillId="5" borderId="0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164" fontId="13" fillId="0" borderId="0" xfId="0" applyNumberFormat="1" applyFont="1" applyBorder="1" applyAlignment="1">
      <alignment vertical="center"/>
    </xf>
    <xf numFmtId="0" fontId="7" fillId="6" borderId="0" xfId="0" applyFont="1" applyFill="1" applyBorder="1" applyAlignment="1">
      <alignment vertical="center"/>
    </xf>
    <xf numFmtId="164" fontId="11" fillId="6" borderId="0" xfId="0" applyNumberFormat="1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164" fontId="10" fillId="0" borderId="0" xfId="0" applyNumberFormat="1" applyFont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23" fillId="5" borderId="0" xfId="0" applyFont="1" applyFill="1" applyBorder="1" applyAlignment="1">
      <alignment vertical="center" wrapText="1"/>
    </xf>
    <xf numFmtId="0" fontId="7" fillId="5" borderId="0" xfId="0" applyFont="1" applyFill="1" applyBorder="1" applyAlignment="1">
      <alignment vertical="center"/>
    </xf>
    <xf numFmtId="164" fontId="11" fillId="5" borderId="0" xfId="0" applyNumberFormat="1" applyFont="1" applyFill="1" applyBorder="1" applyAlignment="1">
      <alignment vertical="center"/>
    </xf>
    <xf numFmtId="164" fontId="13" fillId="0" borderId="0" xfId="0" applyNumberFormat="1" applyFont="1" applyFill="1" applyBorder="1" applyAlignment="1">
      <alignment vertical="center" wrapText="1"/>
    </xf>
    <xf numFmtId="164" fontId="20" fillId="0" borderId="0" xfId="0" applyNumberFormat="1" applyFont="1" applyFill="1" applyBorder="1" applyAlignment="1">
      <alignment vertical="center" wrapText="1"/>
    </xf>
    <xf numFmtId="0" fontId="7" fillId="7" borderId="0" xfId="0" applyFont="1" applyFill="1" applyBorder="1" applyAlignment="1">
      <alignment vertical="center" wrapText="1"/>
    </xf>
    <xf numFmtId="0" fontId="11" fillId="6" borderId="0" xfId="0" applyFont="1" applyFill="1" applyBorder="1" applyAlignment="1">
      <alignment vertical="center" wrapText="1"/>
    </xf>
    <xf numFmtId="164" fontId="11" fillId="6" borderId="0" xfId="0" applyNumberFormat="1" applyFont="1" applyFill="1" applyBorder="1" applyAlignment="1">
      <alignment vertical="center" wrapText="1"/>
    </xf>
    <xf numFmtId="0" fontId="7" fillId="8" borderId="0" xfId="0" applyFont="1" applyFill="1" applyBorder="1" applyAlignment="1">
      <alignment vertical="center" wrapText="1"/>
    </xf>
    <xf numFmtId="0" fontId="11" fillId="5" borderId="0" xfId="0" applyFont="1" applyFill="1" applyBorder="1" applyAlignment="1">
      <alignment vertical="center" wrapText="1"/>
    </xf>
    <xf numFmtId="164" fontId="11" fillId="5" borderId="0" xfId="0" applyNumberFormat="1" applyFont="1" applyFill="1" applyBorder="1" applyAlignment="1">
      <alignment vertical="center" wrapText="1"/>
    </xf>
    <xf numFmtId="0" fontId="13" fillId="9" borderId="0" xfId="0" applyFont="1" applyFill="1" applyBorder="1" applyAlignment="1">
      <alignment vertical="center" wrapText="1"/>
    </xf>
    <xf numFmtId="164" fontId="13" fillId="9" borderId="0" xfId="0" applyNumberFormat="1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center" vertical="center" wrapText="1"/>
    </xf>
    <xf numFmtId="164" fontId="13" fillId="4" borderId="0" xfId="0" applyNumberFormat="1" applyFont="1" applyFill="1" applyBorder="1" applyAlignment="1">
      <alignment vertical="center" wrapText="1"/>
    </xf>
    <xf numFmtId="0" fontId="11" fillId="4" borderId="0" xfId="0" applyFont="1" applyFill="1" applyBorder="1" applyAlignment="1">
      <alignment vertical="center" wrapText="1"/>
    </xf>
    <xf numFmtId="164" fontId="11" fillId="4" borderId="0" xfId="0" applyNumberFormat="1" applyFont="1" applyFill="1" applyBorder="1" applyAlignment="1">
      <alignment vertical="center" wrapText="1"/>
    </xf>
    <xf numFmtId="0" fontId="20" fillId="4" borderId="0" xfId="0" applyFont="1" applyFill="1" applyBorder="1" applyAlignment="1">
      <alignment vertical="center" wrapText="1"/>
    </xf>
    <xf numFmtId="164" fontId="20" fillId="4" borderId="0" xfId="0" applyNumberFormat="1" applyFont="1" applyFill="1" applyBorder="1" applyAlignment="1">
      <alignment vertical="center"/>
    </xf>
    <xf numFmtId="167" fontId="20" fillId="0" borderId="0" xfId="0" applyNumberFormat="1" applyFont="1" applyFill="1" applyBorder="1"/>
    <xf numFmtId="168" fontId="20" fillId="0" borderId="0" xfId="3" applyNumberFormat="1" applyFont="1" applyFill="1" applyBorder="1"/>
    <xf numFmtId="0" fontId="25" fillId="0" borderId="0" xfId="0" applyFont="1"/>
    <xf numFmtId="0" fontId="14" fillId="2" borderId="2" xfId="0" applyFont="1" applyFill="1" applyBorder="1" applyAlignment="1">
      <alignment horizontal="center" vertical="center"/>
    </xf>
    <xf numFmtId="0" fontId="27" fillId="0" borderId="0" xfId="0" applyFont="1"/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26" fillId="0" borderId="0" xfId="0" applyFont="1" applyAlignment="1">
      <alignment vertical="center"/>
    </xf>
    <xf numFmtId="169" fontId="13" fillId="0" borderId="0" xfId="0" applyNumberFormat="1" applyFont="1" applyAlignment="1">
      <alignment vertical="center"/>
    </xf>
    <xf numFmtId="169" fontId="11" fillId="0" borderId="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6" fontId="0" fillId="0" borderId="0" xfId="0" applyNumberFormat="1"/>
    <xf numFmtId="0" fontId="29" fillId="0" borderId="0" xfId="4"/>
    <xf numFmtId="0" fontId="31" fillId="0" borderId="0" xfId="4" applyFont="1"/>
    <xf numFmtId="174" fontId="14" fillId="2" borderId="2" xfId="0" applyNumberFormat="1" applyFont="1" applyFill="1" applyBorder="1" applyAlignment="1">
      <alignment horizontal="center" vertical="center"/>
    </xf>
    <xf numFmtId="174" fontId="31" fillId="0" borderId="0" xfId="4" applyNumberFormat="1" applyFont="1" applyAlignment="1">
      <alignment vertical="center"/>
    </xf>
    <xf numFmtId="174" fontId="29" fillId="0" borderId="0" xfId="4" applyNumberFormat="1" applyAlignment="1">
      <alignment vertical="center"/>
    </xf>
    <xf numFmtId="174" fontId="32" fillId="0" borderId="0" xfId="4" applyNumberFormat="1" applyFont="1" applyAlignment="1">
      <alignment vertical="center" wrapText="1"/>
    </xf>
    <xf numFmtId="174" fontId="30" fillId="0" borderId="0" xfId="4" applyNumberFormat="1" applyFont="1" applyAlignment="1">
      <alignment vertical="center" wrapText="1"/>
    </xf>
    <xf numFmtId="174" fontId="29" fillId="0" borderId="0" xfId="4" applyNumberFormat="1" applyAlignment="1">
      <alignment vertical="center" wrapText="1"/>
    </xf>
    <xf numFmtId="174" fontId="13" fillId="0" borderId="0" xfId="4" applyNumberFormat="1" applyFont="1" applyAlignment="1">
      <alignment vertical="center"/>
    </xf>
    <xf numFmtId="174" fontId="34" fillId="0" borderId="0" xfId="4" applyNumberFormat="1" applyFont="1" applyAlignment="1">
      <alignment vertical="center"/>
    </xf>
    <xf numFmtId="10" fontId="13" fillId="0" borderId="0" xfId="2" applyNumberFormat="1" applyFont="1" applyBorder="1" applyAlignment="1">
      <alignment vertical="center"/>
    </xf>
    <xf numFmtId="175" fontId="13" fillId="0" borderId="0" xfId="4" applyNumberFormat="1" applyFont="1" applyAlignment="1">
      <alignment vertical="center"/>
    </xf>
    <xf numFmtId="176" fontId="13" fillId="0" borderId="0" xfId="2" applyNumberFormat="1" applyFont="1" applyAlignment="1">
      <alignment vertical="center"/>
    </xf>
    <xf numFmtId="176" fontId="13" fillId="10" borderId="0" xfId="2" applyNumberFormat="1" applyFont="1" applyFill="1" applyAlignment="1">
      <alignment vertical="center"/>
    </xf>
    <xf numFmtId="174" fontId="13" fillId="10" borderId="0" xfId="4" applyNumberFormat="1" applyFont="1" applyFill="1" applyAlignment="1">
      <alignment vertical="center"/>
    </xf>
    <xf numFmtId="0" fontId="26" fillId="0" borderId="0" xfId="0" applyFont="1"/>
    <xf numFmtId="169" fontId="15" fillId="0" borderId="0" xfId="0" applyNumberFormat="1" applyFont="1"/>
    <xf numFmtId="164" fontId="37" fillId="0" borderId="1" xfId="0" applyNumberFormat="1" applyFont="1" applyBorder="1"/>
    <xf numFmtId="164" fontId="15" fillId="0" borderId="0" xfId="0" applyNumberFormat="1" applyFont="1"/>
    <xf numFmtId="172" fontId="15" fillId="0" borderId="0" xfId="0" applyNumberFormat="1" applyFont="1"/>
    <xf numFmtId="167" fontId="15" fillId="0" borderId="0" xfId="0" applyNumberFormat="1" applyFont="1"/>
    <xf numFmtId="0" fontId="38" fillId="0" borderId="0" xfId="0" applyFont="1"/>
    <xf numFmtId="10" fontId="14" fillId="2" borderId="3" xfId="2" applyNumberFormat="1" applyFont="1" applyFill="1" applyBorder="1" applyAlignment="1">
      <alignment horizontal="center" vertical="center"/>
    </xf>
    <xf numFmtId="164" fontId="13" fillId="0" borderId="0" xfId="0" applyNumberFormat="1" applyFont="1"/>
    <xf numFmtId="10" fontId="0" fillId="0" borderId="0" xfId="2" applyNumberFormat="1" applyFont="1"/>
    <xf numFmtId="173" fontId="15" fillId="0" borderId="0" xfId="0" applyNumberFormat="1" applyFont="1"/>
    <xf numFmtId="0" fontId="11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171" fontId="15" fillId="0" borderId="0" xfId="0" applyNumberFormat="1" applyFont="1"/>
    <xf numFmtId="0" fontId="0" fillId="0" borderId="0" xfId="0" applyAlignment="1">
      <alignment wrapText="1"/>
    </xf>
    <xf numFmtId="164" fontId="11" fillId="0" borderId="1" xfId="0" applyNumberFormat="1" applyFont="1" applyBorder="1"/>
    <xf numFmtId="169" fontId="11" fillId="0" borderId="0" xfId="0" applyNumberFormat="1" applyFont="1" applyFill="1"/>
    <xf numFmtId="169" fontId="13" fillId="0" borderId="0" xfId="0" applyNumberFormat="1" applyFont="1" applyFill="1"/>
    <xf numFmtId="0" fontId="0" fillId="0" borderId="0" xfId="0" applyFont="1"/>
    <xf numFmtId="164" fontId="13" fillId="0" borderId="0" xfId="0" applyNumberFormat="1" applyFont="1" applyFill="1"/>
    <xf numFmtId="0" fontId="2" fillId="0" borderId="0" xfId="0" applyFont="1"/>
    <xf numFmtId="164" fontId="11" fillId="0" borderId="0" xfId="0" applyNumberFormat="1" applyFont="1" applyFill="1"/>
    <xf numFmtId="10" fontId="11" fillId="0" borderId="0" xfId="2" applyNumberFormat="1" applyFont="1" applyFill="1"/>
    <xf numFmtId="166" fontId="13" fillId="0" borderId="0" xfId="2" applyNumberFormat="1" applyFont="1" applyFill="1"/>
    <xf numFmtId="10" fontId="14" fillId="2" borderId="3" xfId="2" applyNumberFormat="1" applyFont="1" applyFill="1" applyBorder="1" applyAlignment="1">
      <alignment horizontal="right" vertical="center"/>
    </xf>
    <xf numFmtId="10" fontId="14" fillId="2" borderId="0" xfId="2" applyNumberFormat="1" applyFont="1" applyFill="1" applyBorder="1" applyAlignment="1">
      <alignment horizontal="right" vertical="center"/>
    </xf>
    <xf numFmtId="170" fontId="13" fillId="0" borderId="0" xfId="0" applyNumberFormat="1" applyFont="1"/>
    <xf numFmtId="8" fontId="0" fillId="0" borderId="0" xfId="0" applyNumberFormat="1"/>
    <xf numFmtId="169" fontId="11" fillId="11" borderId="0" xfId="0" applyNumberFormat="1" applyFont="1" applyFill="1"/>
    <xf numFmtId="167" fontId="11" fillId="11" borderId="0" xfId="0" applyNumberFormat="1" applyFont="1" applyFill="1"/>
    <xf numFmtId="171" fontId="11" fillId="12" borderId="0" xfId="0" applyNumberFormat="1" applyFont="1" applyFill="1"/>
    <xf numFmtId="0" fontId="39" fillId="13" borderId="0" xfId="0" applyFont="1" applyFill="1" applyAlignment="1">
      <alignment horizontal="left" vertical="center" indent="1"/>
    </xf>
    <xf numFmtId="0" fontId="28" fillId="13" borderId="0" xfId="0" applyFont="1" applyFill="1"/>
    <xf numFmtId="167" fontId="39" fillId="14" borderId="0" xfId="0" applyNumberFormat="1" applyFont="1" applyFill="1"/>
    <xf numFmtId="0" fontId="2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5" borderId="0" xfId="0" applyFont="1" applyFill="1" applyAlignment="1">
      <alignment vertical="center"/>
    </xf>
    <xf numFmtId="0" fontId="20" fillId="0" borderId="0" xfId="0" applyFont="1"/>
    <xf numFmtId="167" fontId="40" fillId="15" borderId="0" xfId="0" applyNumberFormat="1" applyFont="1" applyFill="1"/>
    <xf numFmtId="0" fontId="2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4" borderId="0" xfId="0" applyFont="1" applyFill="1" applyBorder="1" applyAlignment="1">
      <alignment horizontal="left" vertical="center" wrapText="1"/>
    </xf>
    <xf numFmtId="0" fontId="13" fillId="0" borderId="0" xfId="0" applyFont="1"/>
    <xf numFmtId="0" fontId="11" fillId="0" borderId="0" xfId="0" applyFont="1"/>
    <xf numFmtId="0" fontId="42" fillId="0" borderId="0" xfId="0" applyFont="1"/>
    <xf numFmtId="0" fontId="2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1" fillId="0" borderId="1" xfId="0" applyFont="1" applyBorder="1" applyAlignment="1">
      <alignment horizontal="left" wrapText="1"/>
    </xf>
    <xf numFmtId="171" fontId="13" fillId="0" borderId="0" xfId="0" applyNumberFormat="1" applyFont="1" applyAlignment="1">
      <alignment vertical="center"/>
    </xf>
    <xf numFmtId="176" fontId="13" fillId="10" borderId="1" xfId="2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74" fontId="21" fillId="2" borderId="2" xfId="0" applyNumberFormat="1" applyFont="1" applyFill="1" applyBorder="1" applyAlignment="1">
      <alignment horizontal="left" vertical="center"/>
    </xf>
    <xf numFmtId="174" fontId="21" fillId="2" borderId="4" xfId="0" applyNumberFormat="1" applyFont="1" applyFill="1" applyBorder="1" applyAlignment="1">
      <alignment horizontal="left" vertical="center"/>
    </xf>
    <xf numFmtId="0" fontId="2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3" fontId="11" fillId="11" borderId="0" xfId="0" applyNumberFormat="1" applyFont="1" applyFill="1"/>
    <xf numFmtId="166" fontId="0" fillId="0" borderId="0" xfId="0" applyNumberFormat="1"/>
  </cellXfs>
  <cellStyles count="5">
    <cellStyle name="Comma" xfId="3" builtinId="3"/>
    <cellStyle name="Currency" xfId="1" builtinId="4"/>
    <cellStyle name="Normal" xfId="0" builtinId="0"/>
    <cellStyle name="Normal 2" xfId="4" xr:uid="{2768F015-2DBB-4545-B652-C5088B6FAA64}"/>
    <cellStyle name="Percent" xfId="2" builtinId="5"/>
  </cellStyles>
  <dxfs count="31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\$#,##0;&quot;($&quot;#,##0\);\-"/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\$#,##0;&quot;($&quot;#,##0\);\-"/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\$#,##0;&quot;($&quot;#,##0\);\-"/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\$#,##0;&quot;($&quot;#,##0\);\-"/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\$#,##0;&quot;($&quot;#,##0\);\-"/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\$#,##0;&quot;($&quot;#,##0\);\-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\$#,##0;&quot;($&quot;#,##0\)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\$#,##0;&quot;($&quot;#,##0\)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\$#,##0;&quot;($&quot;#,##0\)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\$#,##0;&quot;($&quot;#,##0\)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4" formatCode="\$#,##0;&quot;($&quot;#,##0\);\-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4" formatCode="\$#,##0;&quot;($&quot;#,##0\);\-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4" formatCode="\$#,##0;&quot;($&quot;#,##0\);\-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4" formatCode="\$#,##0;&quot;($&quot;#,##0\);\-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4" formatCode="\$#,##0;&quot;($&quot;#,##0\);\-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colors>
    <mruColors>
      <color rgb="FF3333FF"/>
      <color rgb="FF3366FF"/>
      <color rgb="FF002A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120650</xdr:rowOff>
    </xdr:to>
    <xdr:sp macro="" textlink="">
      <xdr:nvSpPr>
        <xdr:cNvPr id="14338" name="AutoShape 2" descr="Careers at Dollarama: Explore Retail Job Opportunities and Build a ...">
          <a:extLst>
            <a:ext uri="{FF2B5EF4-FFF2-40B4-BE49-F238E27FC236}">
              <a16:creationId xmlns:a16="http://schemas.microsoft.com/office/drawing/2014/main" id="{B6303338-B686-40E3-857B-E774E0419AD5}"/>
            </a:ext>
          </a:extLst>
        </xdr:cNvPr>
        <xdr:cNvSpPr>
          <a:spLocks noChangeAspect="1" noChangeArrowheads="1"/>
        </xdr:cNvSpPr>
      </xdr:nvSpPr>
      <xdr:spPr bwMode="auto">
        <a:xfrm>
          <a:off x="222250" y="6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76200</xdr:rowOff>
    </xdr:to>
    <xdr:sp macro="" textlink="">
      <xdr:nvSpPr>
        <xdr:cNvPr id="14341" name="AutoShape 5" descr="Careers at Dollarama: Explore Retail Job Opportunities and Build a ...">
          <a:extLst>
            <a:ext uri="{FF2B5EF4-FFF2-40B4-BE49-F238E27FC236}">
              <a16:creationId xmlns:a16="http://schemas.microsoft.com/office/drawing/2014/main" id="{149BFB4C-7C9A-4C43-8180-2A5C58FB83D1}"/>
            </a:ext>
          </a:extLst>
        </xdr:cNvPr>
        <xdr:cNvSpPr>
          <a:spLocks noChangeAspect="1" noChangeArrowheads="1"/>
        </xdr:cNvSpPr>
      </xdr:nvSpPr>
      <xdr:spPr bwMode="auto">
        <a:xfrm>
          <a:off x="4248150" y="3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24883</xdr:colOff>
      <xdr:row>2</xdr:row>
      <xdr:rowOff>125857</xdr:rowOff>
    </xdr:from>
    <xdr:to>
      <xdr:col>9</xdr:col>
      <xdr:colOff>565878</xdr:colOff>
      <xdr:row>15</xdr:row>
      <xdr:rowOff>69540</xdr:rowOff>
    </xdr:to>
    <xdr:pic>
      <xdr:nvPicPr>
        <xdr:cNvPr id="7" name="Picture 6" descr="This week in grocery news: Canadians crown Dollarama most reputable ...">
          <a:extLst>
            <a:ext uri="{FF2B5EF4-FFF2-40B4-BE49-F238E27FC236}">
              <a16:creationId xmlns:a16="http://schemas.microsoft.com/office/drawing/2014/main" id="{EE4BCDE8-E575-4510-A3A8-A444C6056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1099" y="520587"/>
          <a:ext cx="3601581" cy="236926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AB43D9F1-5C5F-4D99-AA87-6E15875DD92B}" autoFormatId="16" applyNumberFormats="0" applyBorderFormats="0" applyFontFormats="0" applyPatternFormats="0" applyAlignmentFormats="0" applyWidthHeightFormats="0">
  <queryTableRefresh nextId="14">
    <queryTableFields count="8">
      <queryTableField id="1" name="Index" tableColumnId="1"/>
      <queryTableField id="2" name="LineItem" tableColumnId="2"/>
      <queryTableField id="8" name="FY2021" tableColumnId="8"/>
      <queryTableField id="7" name="FY2022" tableColumnId="7"/>
      <queryTableField id="6" name="FY2023" tableColumnId="6"/>
      <queryTableField id="5" name="FY2024" tableColumnId="5"/>
      <queryTableField id="4" name="FY2025" tableColumnId="4"/>
      <queryTableField id="3" name="FY2026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0380DF96-22BB-449E-891B-3F760F224D35}" autoFormatId="16" applyNumberFormats="0" applyBorderFormats="0" applyFontFormats="0" applyPatternFormats="0" applyAlignmentFormats="0" applyWidthHeightFormats="0">
  <queryTableRefresh nextId="16">
    <queryTableFields count="8">
      <queryTableField id="1" name="Index" tableColumnId="1"/>
      <queryTableField id="5" name="LineItem" tableColumnId="5"/>
      <queryTableField id="9" name="FY2021" tableColumnId="9"/>
      <queryTableField id="8" name="FY2022" tableColumnId="8"/>
      <queryTableField id="7" name="FY2023" tableColumnId="7"/>
      <queryTableField id="6" name="FY2024" tableColumnId="6"/>
      <queryTableField id="4" name="FY2025" tableColumnId="4"/>
      <queryTableField id="3" name="FY2026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A63DCCE-E932-415F-8E0B-242FCDB885F0}" autoFormatId="16" applyNumberFormats="0" applyBorderFormats="0" applyFontFormats="0" applyPatternFormats="0" applyAlignmentFormats="0" applyWidthHeightFormats="0">
  <queryTableRefresh nextId="20">
    <queryTableFields count="8">
      <queryTableField id="4" name="Index" tableColumnId="4"/>
      <queryTableField id="8" name="LineItem" tableColumnId="7"/>
      <queryTableField id="14" name="FY2021" tableColumnId="13"/>
      <queryTableField id="13" name="FY2022" tableColumnId="12"/>
      <queryTableField id="12" name="FY2023" tableColumnId="11"/>
      <queryTableField id="11" name="FY2024" tableColumnId="10"/>
      <queryTableField id="10" name="FY2025" tableColumnId="9"/>
      <queryTableField id="9" name="FY2026" tableColumnId="8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F089041-0F82-4A28-A92A-461472ABF817}" name="Table1" displayName="Table1" ref="C6:I55" totalsRowShown="0" headerRowDxfId="30" dataDxfId="29">
  <autoFilter ref="C6:I55" xr:uid="{9F089041-0F82-4A28-A92A-461472ABF817}"/>
  <tableColumns count="7">
    <tableColumn id="2" xr3:uid="{E6D016DD-D67C-4434-A030-0D7E981DAB7F}" name="LineItem" dataDxfId="28"/>
    <tableColumn id="3" xr3:uid="{833E3263-BD4C-4791-A732-3E7DF1E912D1}" name="FY2021" dataDxfId="27"/>
    <tableColumn id="4" xr3:uid="{E41D0E85-95F6-46C1-AB9C-94B77C167218}" name="FY2022" dataDxfId="26"/>
    <tableColumn id="1" xr3:uid="{93C62CF4-4A3D-4C35-A5D0-B7BEE4F562A3}" name="FY2023" dataDxfId="25"/>
    <tableColumn id="5" xr3:uid="{445D602F-62C5-47A5-978B-31439C8F6D98}" name="FY2024" dataDxfId="24"/>
    <tableColumn id="7" xr3:uid="{DBC6886C-0A2B-4A2F-B75B-1CFEDF9DA876}" name="FY2025" dataDxfId="23"/>
    <tableColumn id="6" xr3:uid="{C403D85F-4B11-406C-AE80-8C09F6B105E7}" name="FY2026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FE60FC-42CA-4235-B71D-A3255C9BB3C3}" name="Table12" displayName="Table12" ref="C6:I37" totalsRowShown="0" dataDxfId="21">
  <autoFilter ref="C6:I37" xr:uid="{4CFE60FC-42CA-4235-B71D-A3255C9BB3C3}"/>
  <tableColumns count="7">
    <tableColumn id="2" xr3:uid="{FE48743B-D349-4624-B0DE-AF6C4798AD5E}" name="Line Item (CAD $ Thousands)" dataDxfId="20"/>
    <tableColumn id="3" xr3:uid="{AE1DD08B-4D94-4858-939A-8275BE302939}" name="FY2021" dataDxfId="19"/>
    <tableColumn id="4" xr3:uid="{63C64C09-9399-41FB-B5EB-72F2D23651C8}" name="FY2022" dataDxfId="18"/>
    <tableColumn id="1" xr3:uid="{2F509B8F-0C95-49BC-9C44-B1D54BC0AA07}" name="FY2023" dataDxfId="17"/>
    <tableColumn id="5" xr3:uid="{8F6C8EA9-5250-41A2-9866-06F2DAD5105C}" name="FY2024" dataDxfId="16"/>
    <tableColumn id="7" xr3:uid="{84D1EA63-8575-43B5-BA8E-9AE6560EA66D}" name="FY2025" dataDxfId="15"/>
    <tableColumn id="6" xr3:uid="{4FCA3BEA-2985-4B7F-A52D-ECEE908C94EB}" name="FY2026" dataDxfId="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A0B36-0E15-4F1F-A12C-3F1A7DBD9663}" name="Table123" displayName="Table123" ref="C6:I64" totalsRowShown="0" dataDxfId="13">
  <autoFilter ref="C6:I64" xr:uid="{7DAA0B36-0E15-4F1F-A12C-3F1A7DBD9663}"/>
  <tableColumns count="7">
    <tableColumn id="2" xr3:uid="{0E765D84-3D47-4B14-8CF1-C561F72F3611}" name="Line Item (CAD $ Thousands)" dataDxfId="12">
      <calculatedColumnFormula>'Data-Cash Flow Statement'!B2</calculatedColumnFormula>
    </tableColumn>
    <tableColumn id="3" xr3:uid="{582FC5FC-08D8-47AA-9280-241A4202DE5F}" name="FY2021" dataDxfId="11"/>
    <tableColumn id="4" xr3:uid="{986DDA2B-0684-449D-8C58-C8137AABB2B9}" name="FY2022" dataDxfId="10"/>
    <tableColumn id="1" xr3:uid="{FAE21C69-4F42-4239-B67D-3487DA3AC6DF}" name="FY2023" dataDxfId="9"/>
    <tableColumn id="5" xr3:uid="{F40541D8-49A1-47ED-BC87-CB1CBF104FC2}" name="FY2024" dataDxfId="8"/>
    <tableColumn id="7" xr3:uid="{186733F9-1C40-4B18-A36D-B5D8C63457C9}" name="FY2025" dataDxfId="7"/>
    <tableColumn id="6" xr3:uid="{8818CFBE-C3CA-4DA3-B759-271DCB91A99D}" name="FY2026" dataDxfId="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2562C6-0069-4D09-A09C-F3B934537E44}" name="CF_2026_2021" displayName="CF_2026_2021" ref="A1:H53" tableType="queryTable" totalsRowShown="0">
  <autoFilter ref="A1:H53" xr:uid="{162562C6-0069-4D09-A09C-F3B934537E44}"/>
  <tableColumns count="8">
    <tableColumn id="1" xr3:uid="{C259BE45-D2CC-4AB3-B2A3-1B725C99AB4A}" uniqueName="1" name="Index" queryTableFieldId="1"/>
    <tableColumn id="2" xr3:uid="{55564A15-481E-4A81-A407-724A1B9A482F}" uniqueName="2" name="LineItem" queryTableFieldId="2" dataDxfId="5"/>
    <tableColumn id="8" xr3:uid="{1DA37B02-7C3D-40D8-96FD-F268DB8C8D8B}" uniqueName="8" name="FY2021" queryTableFieldId="8"/>
    <tableColumn id="7" xr3:uid="{CF2DEC92-42E6-4D58-BD3B-7F037C3041C9}" uniqueName="7" name="FY2022" queryTableFieldId="7"/>
    <tableColumn id="6" xr3:uid="{2E5EE2EE-61B7-458B-AD41-589603D98E21}" uniqueName="6" name="FY2023" queryTableFieldId="6"/>
    <tableColumn id="5" xr3:uid="{764A4533-7A9A-4061-809C-6D52A593F9D4}" uniqueName="5" name="FY2024" queryTableFieldId="5"/>
    <tableColumn id="4" xr3:uid="{94120B69-E40A-4D13-9B2A-3B0EBDB13AE9}" uniqueName="4" name="FY2025" queryTableFieldId="4"/>
    <tableColumn id="3" xr3:uid="{54443E3D-1367-40E2-9257-F78ECAAEEEDD}" uniqueName="3" name="FY2026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F241F1E-88CC-4C62-8DCD-08D8F935D565}" name="IS_2026_2021" displayName="IS_2026_2021" ref="A1:H41" tableType="queryTable" totalsRowShown="0">
  <autoFilter ref="A1:H41" xr:uid="{8F241F1E-88CC-4C62-8DCD-08D8F935D565}"/>
  <tableColumns count="8">
    <tableColumn id="1" xr3:uid="{302B1577-D772-4A1A-A676-CF064B2EF839}" uniqueName="1" name="Index" queryTableFieldId="1"/>
    <tableColumn id="5" xr3:uid="{80397C32-3A5A-41FE-BF78-1F5A78304378}" uniqueName="5" name="LineItem" queryTableFieldId="5" dataDxfId="4"/>
    <tableColumn id="9" xr3:uid="{E78B4CFA-6469-4B44-B90B-609B4E088DB9}" uniqueName="9" name="FY2021" queryTableFieldId="9"/>
    <tableColumn id="8" xr3:uid="{29FC0F81-2236-492E-A64A-A9C075AACE2B}" uniqueName="8" name="FY2022" queryTableFieldId="8"/>
    <tableColumn id="7" xr3:uid="{B68F9CF6-FF51-413A-8BDC-35F76F649C23}" uniqueName="7" name="FY2023" queryTableFieldId="7"/>
    <tableColumn id="6" xr3:uid="{C37905B7-41DD-494D-A855-E9D4B0660A1E}" uniqueName="6" name="FY2024" queryTableFieldId="6"/>
    <tableColumn id="4" xr3:uid="{252F702C-4C32-4F26-B7F7-15C4DA9C8CE6}" uniqueName="4" name="FY2025" queryTableFieldId="4"/>
    <tableColumn id="3" xr3:uid="{C7D67983-A79B-47F9-96B2-AE94B6666399}" uniqueName="3" name="FY2026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D8F6CA-0CF5-48A3-B38D-8CF7275F6863}" name="FP_2026_2021" displayName="FP_2026_2021" ref="A1:H45" tableType="queryTable" totalsRowShown="0">
  <autoFilter ref="A1:H45" xr:uid="{58D8F6CA-0CF5-48A3-B38D-8CF7275F6863}"/>
  <tableColumns count="8">
    <tableColumn id="4" xr3:uid="{5F2ECF27-2A91-4EA6-B7B5-CEF184CEDBB4}" uniqueName="4" name="Index" queryTableFieldId="4"/>
    <tableColumn id="7" xr3:uid="{6CB5C242-CA0D-4F25-89A1-C7E132554D38}" uniqueName="7" name="LineItem" queryTableFieldId="8" dataDxfId="3"/>
    <tableColumn id="13" xr3:uid="{48ADDA98-38A1-49F8-AF77-6E6FD0BF30A8}" uniqueName="13" name="FY2021" queryTableFieldId="14"/>
    <tableColumn id="12" xr3:uid="{901F1B44-097D-477D-9D9B-ACB35AA9F659}" uniqueName="12" name="FY2022" queryTableFieldId="13"/>
    <tableColumn id="11" xr3:uid="{A512B38F-1FE3-42AB-BAE6-7E666F9136CB}" uniqueName="11" name="FY2023" queryTableFieldId="12"/>
    <tableColumn id="10" xr3:uid="{5D7175F2-05C6-43CD-9744-D2DA0DCC5B63}" uniqueName="10" name="FY2024" queryTableFieldId="11"/>
    <tableColumn id="9" xr3:uid="{F99E4252-2E6D-4885-8CAC-2ACFACFBCB83}" uniqueName="9" name="FY2025" queryTableFieldId="10"/>
    <tableColumn id="8" xr3:uid="{0BB28FA1-E442-460B-8999-6C8C28F57101}" uniqueName="8" name="FY2026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7898-5296-4AD0-82A6-36D311658BE7}">
  <sheetPr>
    <tabColor theme="5" tint="0.59999389629810485"/>
  </sheetPr>
  <dimension ref="A1:K17"/>
  <sheetViews>
    <sheetView showGridLines="0" zoomScale="111" workbookViewId="0">
      <selection activeCell="B16" sqref="B16"/>
    </sheetView>
  </sheetViews>
  <sheetFormatPr defaultColWidth="0" defaultRowHeight="14.5" zeroHeight="1" x14ac:dyDescent="0.35"/>
  <cols>
    <col min="1" max="1" width="3.1796875" customWidth="1"/>
    <col min="2" max="2" width="40.1796875" customWidth="1"/>
    <col min="3" max="10" width="8.7265625" customWidth="1"/>
    <col min="11" max="11" width="2.36328125" customWidth="1"/>
    <col min="12" max="16384" width="8.7265625" hidden="1"/>
  </cols>
  <sheetData>
    <row r="1" spans="2:8" x14ac:dyDescent="0.35"/>
    <row r="2" spans="2:8" ht="16.5" x14ac:dyDescent="0.35">
      <c r="B2" s="138" t="s">
        <v>49</v>
      </c>
      <c r="C2" s="138"/>
      <c r="D2" s="138"/>
      <c r="E2" s="138"/>
      <c r="F2" s="138"/>
      <c r="G2" s="138"/>
      <c r="H2" s="138"/>
    </row>
    <row r="3" spans="2:8" ht="18" x14ac:dyDescent="0.35">
      <c r="B3" s="118" t="s">
        <v>233</v>
      </c>
      <c r="C3" s="59"/>
      <c r="D3" s="59"/>
      <c r="F3" s="59"/>
      <c r="G3" s="59"/>
      <c r="H3" s="59"/>
    </row>
    <row r="4" spans="2:8" x14ac:dyDescent="0.35">
      <c r="B4" s="121" t="s">
        <v>243</v>
      </c>
      <c r="C4" s="59"/>
      <c r="D4" s="59"/>
      <c r="E4" s="59"/>
      <c r="F4" s="59"/>
      <c r="G4" s="59"/>
      <c r="H4" s="59"/>
    </row>
    <row r="5" spans="2:8" x14ac:dyDescent="0.35">
      <c r="B5" s="119"/>
      <c r="C5" s="59"/>
      <c r="D5" s="59"/>
      <c r="E5" s="59"/>
      <c r="F5" s="59"/>
      <c r="G5" s="59"/>
      <c r="H5" s="59"/>
    </row>
    <row r="6" spans="2:8" x14ac:dyDescent="0.35">
      <c r="B6" s="120" t="s">
        <v>234</v>
      </c>
      <c r="C6" s="59"/>
      <c r="D6" s="59"/>
      <c r="E6" s="59"/>
      <c r="F6" s="59"/>
      <c r="G6" s="59"/>
      <c r="H6" s="59"/>
    </row>
    <row r="7" spans="2:8" x14ac:dyDescent="0.35">
      <c r="B7" s="119" t="s">
        <v>235</v>
      </c>
      <c r="C7" s="59"/>
      <c r="D7" s="59"/>
      <c r="E7" s="59"/>
      <c r="F7" s="59"/>
      <c r="G7" s="59"/>
      <c r="H7" s="59"/>
    </row>
    <row r="8" spans="2:8" x14ac:dyDescent="0.35">
      <c r="B8" s="119" t="s">
        <v>236</v>
      </c>
      <c r="C8" s="59"/>
      <c r="D8" s="59"/>
      <c r="E8" s="59"/>
      <c r="F8" s="59"/>
      <c r="G8" s="59"/>
      <c r="H8" s="59"/>
    </row>
    <row r="9" spans="2:8" x14ac:dyDescent="0.35">
      <c r="B9" s="119" t="s">
        <v>237</v>
      </c>
      <c r="C9" s="59"/>
      <c r="D9" s="59"/>
      <c r="E9" s="59"/>
      <c r="F9" s="59"/>
      <c r="G9" s="59"/>
      <c r="H9" s="59"/>
    </row>
    <row r="10" spans="2:8" x14ac:dyDescent="0.35">
      <c r="B10" s="119" t="s">
        <v>238</v>
      </c>
      <c r="C10" s="59"/>
      <c r="D10" s="59"/>
      <c r="E10" s="59"/>
      <c r="F10" s="59"/>
      <c r="G10" s="59"/>
      <c r="H10" s="59"/>
    </row>
    <row r="11" spans="2:8" x14ac:dyDescent="0.35">
      <c r="B11" s="119"/>
      <c r="C11" s="59"/>
      <c r="D11" s="59"/>
      <c r="E11" s="59"/>
      <c r="F11" s="59"/>
      <c r="G11" s="59"/>
      <c r="H11" s="59"/>
    </row>
    <row r="12" spans="2:8" x14ac:dyDescent="0.35">
      <c r="B12" s="120" t="s">
        <v>242</v>
      </c>
      <c r="C12" s="59"/>
      <c r="D12" s="59"/>
      <c r="E12" s="59"/>
      <c r="F12" s="59"/>
      <c r="G12" s="59"/>
      <c r="H12" s="59"/>
    </row>
    <row r="13" spans="2:8" x14ac:dyDescent="0.35">
      <c r="B13" s="119" t="s">
        <v>239</v>
      </c>
      <c r="C13" s="59"/>
      <c r="D13" s="59"/>
      <c r="E13" s="59"/>
      <c r="F13" s="59"/>
      <c r="G13" s="59"/>
      <c r="H13" s="59"/>
    </row>
    <row r="14" spans="2:8" x14ac:dyDescent="0.35">
      <c r="B14" s="119" t="s">
        <v>240</v>
      </c>
      <c r="C14" s="59"/>
      <c r="D14" s="59"/>
      <c r="E14" s="59"/>
      <c r="F14" s="59"/>
      <c r="G14" s="59"/>
      <c r="H14" s="59"/>
    </row>
    <row r="15" spans="2:8" x14ac:dyDescent="0.35">
      <c r="B15" s="119" t="s">
        <v>241</v>
      </c>
      <c r="C15" s="59"/>
      <c r="D15" s="59"/>
      <c r="E15" s="59"/>
      <c r="F15" s="59"/>
      <c r="G15" s="59"/>
      <c r="H15" s="59"/>
    </row>
    <row r="16" spans="2:8" x14ac:dyDescent="0.35"/>
    <row r="17" x14ac:dyDescent="0.35"/>
  </sheetData>
  <mergeCells count="1">
    <mergeCell ref="B2:H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586F-7740-438F-947D-A1C8CC60462A}">
  <sheetPr>
    <tabColor theme="4" tint="-0.249977111117893"/>
  </sheetPr>
  <dimension ref="B1:I31"/>
  <sheetViews>
    <sheetView showGridLines="0" workbookViewId="0">
      <pane xSplit="3" ySplit="6" topLeftCell="D7" activePane="bottomRight" state="frozen"/>
      <selection activeCell="B11" sqref="B11"/>
      <selection pane="topRight" activeCell="B11" sqref="B11"/>
      <selection pane="bottomLeft" activeCell="B11" sqref="B11"/>
      <selection pane="bottomRight" activeCell="B11" sqref="B11"/>
    </sheetView>
  </sheetViews>
  <sheetFormatPr defaultColWidth="8.6328125" defaultRowHeight="14.5" x14ac:dyDescent="0.35"/>
  <cols>
    <col min="1" max="1" width="3.1796875" customWidth="1"/>
    <col min="2" max="2" width="46" customWidth="1"/>
    <col min="3" max="3" width="2" customWidth="1"/>
    <col min="4" max="12" width="13" customWidth="1"/>
  </cols>
  <sheetData>
    <row r="1" spans="2:9" ht="15" customHeight="1" x14ac:dyDescent="0.35"/>
    <row r="2" spans="2:9" ht="16.5" x14ac:dyDescent="0.35">
      <c r="B2" s="139" t="s">
        <v>49</v>
      </c>
      <c r="C2" s="139"/>
      <c r="D2" s="139"/>
      <c r="E2" s="139"/>
      <c r="F2" s="139"/>
      <c r="G2" s="139"/>
      <c r="H2" s="139"/>
    </row>
    <row r="3" spans="2:9" ht="18" x14ac:dyDescent="0.4">
      <c r="B3" s="57" t="s">
        <v>132</v>
      </c>
    </row>
    <row r="4" spans="2:9" x14ac:dyDescent="0.35">
      <c r="B4" s="55" t="s">
        <v>134</v>
      </c>
    </row>
    <row r="5" spans="2:9" x14ac:dyDescent="0.35">
      <c r="B5" s="55"/>
    </row>
    <row r="6" spans="2:9" ht="20" customHeight="1" x14ac:dyDescent="0.35">
      <c r="B6" s="58" t="s">
        <v>133</v>
      </c>
      <c r="C6" s="59"/>
      <c r="D6" s="56" t="s">
        <v>48</v>
      </c>
      <c r="E6" s="56" t="s">
        <v>47</v>
      </c>
      <c r="F6" s="56" t="s">
        <v>43</v>
      </c>
      <c r="G6" s="56" t="s">
        <v>42</v>
      </c>
      <c r="H6" s="56" t="s">
        <v>45</v>
      </c>
      <c r="I6" s="56" t="s">
        <v>44</v>
      </c>
    </row>
    <row r="7" spans="2:9" ht="20" customHeight="1" x14ac:dyDescent="0.35">
      <c r="B7" s="60" t="s">
        <v>136</v>
      </c>
      <c r="C7" s="59"/>
      <c r="D7" s="59"/>
      <c r="E7" s="59"/>
      <c r="F7" s="59"/>
      <c r="G7" s="59"/>
      <c r="H7" s="59"/>
      <c r="I7" s="59"/>
    </row>
    <row r="8" spans="2:9" ht="20" customHeight="1" x14ac:dyDescent="0.35">
      <c r="B8" s="66" t="s">
        <v>53</v>
      </c>
      <c r="C8" s="59"/>
      <c r="D8" s="63">
        <f>'Income Statement'!D8/'Income Statement'!D$7</f>
        <v>0.56162507180983634</v>
      </c>
      <c r="E8" s="63">
        <f>'Income Statement'!E8/'Income Statement'!E$7</f>
        <v>0.56076426290898995</v>
      </c>
      <c r="F8" s="63">
        <f>'Income Statement'!F8/'Income Statement'!F$7</f>
        <v>0.56494781743216205</v>
      </c>
      <c r="G8" s="63">
        <f>'Income Statement'!G8/'Income Statement'!G$7</f>
        <v>0.5545788318674808</v>
      </c>
      <c r="H8" s="63">
        <f>'Income Statement'!H8/'Income Statement'!H$7</f>
        <v>0.54877895322809633</v>
      </c>
      <c r="I8" s="63">
        <f>'Income Statement'!I8/'Income Statement'!I$7</f>
        <v>0.54950719112031632</v>
      </c>
    </row>
    <row r="9" spans="2:9" ht="20" customHeight="1" x14ac:dyDescent="0.35">
      <c r="B9" s="67" t="s">
        <v>54</v>
      </c>
      <c r="C9" s="59"/>
      <c r="D9" s="64">
        <f>'Income Statement'!D9/'Income Statement'!D$7</f>
        <v>0.4383749281901636</v>
      </c>
      <c r="E9" s="64">
        <f>'Income Statement'!E9/'Income Statement'!E$7</f>
        <v>0.4392357370910101</v>
      </c>
      <c r="F9" s="64">
        <f>'Income Statement'!F9/'Income Statement'!F$7</f>
        <v>0.43505218256783795</v>
      </c>
      <c r="G9" s="64">
        <f>'Income Statement'!G9/'Income Statement'!G$7</f>
        <v>0.44542116813251914</v>
      </c>
      <c r="H9" s="64">
        <f>'Income Statement'!H9/'Income Statement'!H$7</f>
        <v>0.45122104677190367</v>
      </c>
      <c r="I9" s="64">
        <f>'Income Statement'!I9/'Income Statement'!I$7</f>
        <v>0.45049280887968363</v>
      </c>
    </row>
    <row r="10" spans="2:9" ht="20" customHeight="1" x14ac:dyDescent="0.35">
      <c r="B10" s="66" t="s">
        <v>135</v>
      </c>
      <c r="C10" s="59"/>
      <c r="D10" s="63">
        <f>'Income Statement'!D10/'Income Statement'!D$7</f>
        <v>0.16244161143135599</v>
      </c>
      <c r="E10" s="63">
        <f>'Income Statement'!E10/'Income Statement'!E$7</f>
        <v>0.15074302183842517</v>
      </c>
      <c r="F10" s="63">
        <f>'Income Statement'!F10/'Income Statement'!F$7</f>
        <v>0.14255866271396059</v>
      </c>
      <c r="G10" s="63">
        <f>'Income Statement'!G10/'Income Statement'!G$7</f>
        <v>0.14399537917300967</v>
      </c>
      <c r="H10" s="63">
        <f>'Income Statement'!H10/'Income Statement'!H$7</f>
        <v>0.14504084969231165</v>
      </c>
      <c r="I10" s="63">
        <f>'Income Statement'!I10/'Income Statement'!I$7</f>
        <v>0.15067889567369566</v>
      </c>
    </row>
    <row r="11" spans="2:9" ht="20" customHeight="1" x14ac:dyDescent="0.35">
      <c r="B11" s="66" t="s">
        <v>56</v>
      </c>
      <c r="C11" s="59"/>
      <c r="D11" s="63">
        <f>'Income Statement'!D11/'Income Statement'!D$7</f>
        <v>6.6968617766517261E-2</v>
      </c>
      <c r="E11" s="63">
        <f>'Income Statement'!E11/'Income Statement'!E$7</f>
        <v>6.8800841237833255E-2</v>
      </c>
      <c r="F11" s="63">
        <f>'Income Statement'!F11/'Income Statement'!F$7</f>
        <v>6.5665744592885322E-2</v>
      </c>
      <c r="G11" s="63">
        <f>'Income Statement'!G11/'Income Statement'!G$7</f>
        <v>5.9335495354971277E-2</v>
      </c>
      <c r="H11" s="63">
        <f>'Income Statement'!H11/'Income Statement'!H$7</f>
        <v>5.969068218479389E-2</v>
      </c>
      <c r="I11" s="63">
        <f>'Income Statement'!I11/'Income Statement'!I$7</f>
        <v>5.9132793090835217E-2</v>
      </c>
    </row>
    <row r="12" spans="2:9" ht="20" customHeight="1" x14ac:dyDescent="0.35">
      <c r="B12" s="67" t="s">
        <v>58</v>
      </c>
      <c r="C12" s="59"/>
      <c r="D12" s="64">
        <f>'Income Statement'!D13/'Income Statement'!D$7</f>
        <v>0.2138461534640469</v>
      </c>
      <c r="E12" s="64">
        <f>'Income Statement'!E13/'Income Statement'!E$7</f>
        <v>0.22735426868395647</v>
      </c>
      <c r="F12" s="64">
        <f>'Income Statement'!F13/'Income Statement'!F$7</f>
        <v>0.23581279942906236</v>
      </c>
      <c r="G12" s="64">
        <f>'Income Statement'!G13/'Income Statement'!G$7</f>
        <v>0.25492283737047811</v>
      </c>
      <c r="H12" s="64">
        <f>'Income Statement'!H13/'Income Statement'!H$7</f>
        <v>0.26674556711254777</v>
      </c>
      <c r="I12" s="64">
        <f>'Income Statement'!I13/'Income Statement'!I$7</f>
        <v>0.26707892797909077</v>
      </c>
    </row>
    <row r="13" spans="2:9" ht="20" customHeight="1" x14ac:dyDescent="0.35">
      <c r="B13" s="66" t="s">
        <v>60</v>
      </c>
      <c r="C13" s="59"/>
      <c r="D13" s="63">
        <f>'Income Statement'!D15/'Income Statement'!D$7</f>
        <v>2.3755550748225586E-2</v>
      </c>
      <c r="E13" s="63">
        <f>'Income Statement'!E15/'Income Statement'!E$7</f>
        <v>2.1062349088301111E-2</v>
      </c>
      <c r="F13" s="63">
        <f>'Income Statement'!F15/'Income Statement'!F$7</f>
        <v>2.2837901250034386E-2</v>
      </c>
      <c r="G13" s="63">
        <f>'Income Statement'!G15/'Income Statement'!G$7</f>
        <v>2.4686110317642656E-2</v>
      </c>
      <c r="H13" s="63">
        <f>'Income Statement'!H15/'Income Statement'!H$7</f>
        <v>2.553848384840823E-2</v>
      </c>
      <c r="I13" s="63">
        <f>'Income Statement'!I15/'Income Statement'!I$7</f>
        <v>2.5361940330391575E-2</v>
      </c>
    </row>
    <row r="14" spans="2:9" ht="20" customHeight="1" x14ac:dyDescent="0.35">
      <c r="B14" s="66" t="s">
        <v>61</v>
      </c>
      <c r="C14" s="59"/>
      <c r="D14" s="63">
        <f>'Income Statement'!D16/'Income Statement'!D$7</f>
        <v>0.19009060271582132</v>
      </c>
      <c r="E14" s="63">
        <f>'Income Statement'!E16/'Income Statement'!E$7</f>
        <v>0.20629191959565535</v>
      </c>
      <c r="F14" s="63">
        <f>'Income Statement'!F16/'Income Statement'!F$7</f>
        <v>0.21297489817902798</v>
      </c>
      <c r="G14" s="63">
        <f>'Income Statement'!G16/'Income Statement'!G$7</f>
        <v>0.23023672705283546</v>
      </c>
      <c r="H14" s="63">
        <f>'Income Statement'!H16/'Income Statement'!H$7</f>
        <v>0.2412070832641395</v>
      </c>
      <c r="I14" s="63">
        <f>'Income Statement'!I16/'Income Statement'!I$7</f>
        <v>0.24314316609962244</v>
      </c>
    </row>
    <row r="15" spans="2:9" ht="20" customHeight="1" x14ac:dyDescent="0.35">
      <c r="B15" s="66" t="s">
        <v>62</v>
      </c>
      <c r="C15" s="59"/>
      <c r="D15" s="63">
        <f>'Income Statement'!D17/'Income Statement'!D$7</f>
        <v>4.9923762976996758E-2</v>
      </c>
      <c r="E15" s="63">
        <f>'Income Statement'!E17/'Income Statement'!E$7</f>
        <v>5.3162019331013652E-2</v>
      </c>
      <c r="F15" s="63">
        <f>'Income Statement'!F17/'Income Statement'!F$7</f>
        <v>5.4276282912581506E-2</v>
      </c>
      <c r="G15" s="63">
        <f>'Income Statement'!G17/'Income Statement'!G$7</f>
        <v>5.8019227766957067E-2</v>
      </c>
      <c r="H15" s="63">
        <f>'Income Statement'!H17/'Income Statement'!H$7</f>
        <v>5.8996171145358475E-2</v>
      </c>
      <c r="I15" s="63">
        <f>'Income Statement'!I17/'Income Statement'!I$7</f>
        <v>6.2674258250762088E-2</v>
      </c>
    </row>
    <row r="16" spans="2:9" ht="20" customHeight="1" x14ac:dyDescent="0.35">
      <c r="B16" s="67" t="s">
        <v>63</v>
      </c>
      <c r="C16" s="59"/>
      <c r="D16" s="64">
        <f>'Income Statement'!D18/'Income Statement'!D$7</f>
        <v>0.14016683973882454</v>
      </c>
      <c r="E16" s="64">
        <f>'Income Statement'!E18/'Income Statement'!E$7</f>
        <v>0.15312990026464171</v>
      </c>
      <c r="F16" s="64">
        <f>'Income Statement'!F18/'Income Statement'!F$7</f>
        <v>0.15869861526644646</v>
      </c>
      <c r="G16" s="64">
        <f>'Income Statement'!G18/'Income Statement'!G$7</f>
        <v>0.1722174992858784</v>
      </c>
      <c r="H16" s="64">
        <f>'Income Statement'!H18/'Income Statement'!H$7</f>
        <v>0.18221091211878104</v>
      </c>
      <c r="I16" s="64">
        <f>'Income Statement'!I18/'Income Statement'!I$7</f>
        <v>0.18046890784886035</v>
      </c>
    </row>
    <row r="17" spans="2:9" ht="20" customHeight="1" x14ac:dyDescent="0.35">
      <c r="B17" s="59"/>
      <c r="C17" s="59"/>
      <c r="D17" s="65"/>
      <c r="E17" s="65"/>
      <c r="F17" s="65"/>
      <c r="G17" s="65"/>
      <c r="H17" s="65"/>
      <c r="I17" s="65"/>
    </row>
    <row r="18" spans="2:9" ht="20" customHeight="1" x14ac:dyDescent="0.35">
      <c r="B18" s="62" t="s">
        <v>137</v>
      </c>
      <c r="C18" s="59"/>
      <c r="D18" s="65"/>
      <c r="E18" s="65"/>
      <c r="F18" s="65"/>
      <c r="G18" s="65"/>
      <c r="H18" s="65"/>
      <c r="I18" s="65"/>
    </row>
    <row r="19" spans="2:9" ht="20" customHeight="1" x14ac:dyDescent="0.35">
      <c r="B19" s="66" t="s">
        <v>2</v>
      </c>
      <c r="C19" s="59"/>
      <c r="D19" s="63">
        <f>'Financial Position'!D9/'Financial Position'!D$27</f>
        <v>0.10397026715148118</v>
      </c>
      <c r="E19" s="63">
        <f>'Financial Position'!E9/'Financial Position'!E$27</f>
        <v>1.7486628726225906E-2</v>
      </c>
      <c r="F19" s="63">
        <f>'Financial Position'!F9/'Financial Position'!F$27</f>
        <v>2.1010005693352388E-2</v>
      </c>
      <c r="G19" s="63">
        <f>'Financial Position'!G9/'Financial Position'!G$27</f>
        <v>5.9638761024521779E-2</v>
      </c>
      <c r="H19" s="63">
        <f>'Financial Position'!H9/'Financial Position'!H$27</f>
        <v>1.8925300250270262E-2</v>
      </c>
      <c r="I19" s="63">
        <f>'Financial Position'!I9/'Financial Position'!I$27</f>
        <v>4.3867896070466157E-2</v>
      </c>
    </row>
    <row r="20" spans="2:9" ht="20" customHeight="1" x14ac:dyDescent="0.35">
      <c r="B20" s="66" t="s">
        <v>7</v>
      </c>
      <c r="C20" s="59"/>
      <c r="D20" s="63">
        <f>'Financial Position'!D14/'Financial Position'!D$27</f>
        <v>0.14931177206205107</v>
      </c>
      <c r="E20" s="63">
        <f>'Financial Position'!E14/'Financial Position'!E$27</f>
        <v>0.14542093857556498</v>
      </c>
      <c r="F20" s="63">
        <f>'Financial Position'!F14/'Financial Position'!F$27</f>
        <v>0.19859757625855456</v>
      </c>
      <c r="G20" s="63">
        <f>'Financial Position'!G14/'Financial Position'!G$27</f>
        <v>0.17417941727032432</v>
      </c>
      <c r="H20" s="63">
        <f>'Financial Position'!H14/'Financial Position'!H$27</f>
        <v>0.14208745514140023</v>
      </c>
      <c r="I20" s="63">
        <f>'Financial Position'!I14/'Financial Position'!I$27</f>
        <v>0.14595443557008195</v>
      </c>
    </row>
    <row r="21" spans="2:9" ht="20" customHeight="1" x14ac:dyDescent="0.35">
      <c r="B21" s="61" t="s">
        <v>9</v>
      </c>
      <c r="C21" s="59"/>
      <c r="D21" s="64">
        <f>'Financial Position'!D16/'Financial Position'!D$27</f>
        <v>0.26051803304460069</v>
      </c>
      <c r="E21" s="64">
        <f>'Financial Position'!E16/'Financial Position'!E$27</f>
        <v>0.17653649679763714</v>
      </c>
      <c r="F21" s="64">
        <f>'Financial Position'!F16/'Financial Position'!F$27</f>
        <v>0.24004762995533291</v>
      </c>
      <c r="G21" s="64">
        <f>'Financial Position'!G16/'Financial Position'!G$27</f>
        <v>0.2487064478788025</v>
      </c>
      <c r="H21" s="64">
        <f>'Financial Position'!H16/'Financial Position'!H$27</f>
        <v>0.18530859261233779</v>
      </c>
      <c r="I21" s="64">
        <f>'Financial Position'!I16/'Financial Position'!I$27</f>
        <v>0.20136519177725515</v>
      </c>
    </row>
    <row r="22" spans="2:9" ht="20" customHeight="1" x14ac:dyDescent="0.35">
      <c r="B22" s="66" t="s">
        <v>11</v>
      </c>
      <c r="C22" s="59"/>
      <c r="D22" s="63">
        <f>'Financial Position'!D19/'Financial Position'!D$27</f>
        <v>0.31835223993109435</v>
      </c>
      <c r="E22" s="63">
        <f>'Financial Position'!E19/'Financial Position'!E$27</f>
        <v>0.36427523438795817</v>
      </c>
      <c r="F22" s="63">
        <f>'Financial Position'!F19/'Financial Position'!F$27</f>
        <v>0.35267143547174323</v>
      </c>
      <c r="G22" s="63">
        <f>'Financial Position'!G19/'Financial Position'!G$27</f>
        <v>0.33979550524953706</v>
      </c>
      <c r="H22" s="63">
        <f>'Financial Position'!H19/'Financial Position'!H$27</f>
        <v>0.32540147521238416</v>
      </c>
      <c r="I22" s="63">
        <f>'Financial Position'!I19/'Financial Position'!I$27</f>
        <v>0.31716027514992684</v>
      </c>
    </row>
    <row r="23" spans="2:9" ht="20" customHeight="1" x14ac:dyDescent="0.35">
      <c r="B23" s="66" t="s">
        <v>12</v>
      </c>
      <c r="C23" s="59"/>
      <c r="D23" s="63">
        <f>'Financial Position'!D20/'Financial Position'!D$27</f>
        <v>0.16797151154449155</v>
      </c>
      <c r="E23" s="63">
        <f>'Financial Position'!E20/'Financial Position'!E$27</f>
        <v>0.18748969500157744</v>
      </c>
      <c r="F23" s="63">
        <f>'Financial Position'!F20/'Financial Position'!F$27</f>
        <v>0.16655753024697198</v>
      </c>
      <c r="G23" s="63">
        <f>'Financial Position'!G20/'Financial Position'!G$27</f>
        <v>0.18067344313509728</v>
      </c>
      <c r="H23" s="63">
        <f>'Financial Position'!H20/'Financial Position'!H$27</f>
        <v>0.16141537212275583</v>
      </c>
      <c r="I23" s="63">
        <f>'Financial Position'!I20/'Financial Position'!I$27</f>
        <v>0.16650441789427115</v>
      </c>
    </row>
    <row r="24" spans="2:9" ht="20" customHeight="1" x14ac:dyDescent="0.35">
      <c r="B24" s="66" t="s">
        <v>14</v>
      </c>
      <c r="C24" s="59"/>
      <c r="D24" s="63">
        <f>'Financial Position'!D23/'Financial Position'!D$27</f>
        <v>0.17230723627793906</v>
      </c>
      <c r="E24" s="63">
        <f>'Financial Position'!E23/'Financial Position'!E$27</f>
        <v>0.17909951909187063</v>
      </c>
      <c r="F24" s="63">
        <f>'Financial Position'!F23/'Financial Position'!F$27</f>
        <v>0.15100289315254034</v>
      </c>
      <c r="G24" s="63">
        <f>'Financial Position'!G23/'Financial Position'!G$27</f>
        <v>0.13826678169551793</v>
      </c>
      <c r="H24" s="63">
        <f>'Financial Position'!H23/'Financial Position'!H$27</f>
        <v>0.11226713018496305</v>
      </c>
      <c r="I24" s="63">
        <f>'Financial Position'!I23/'Financial Position'!I$27</f>
        <v>0.10606928600308639</v>
      </c>
    </row>
    <row r="25" spans="2:9" ht="20" customHeight="1" x14ac:dyDescent="0.35">
      <c r="B25" s="66" t="s">
        <v>15</v>
      </c>
      <c r="C25" s="59"/>
      <c r="D25" s="63">
        <f>'Financial Position'!D24/'Financial Position'!D$27</f>
        <v>4.2471540665560858E-2</v>
      </c>
      <c r="E25" s="63">
        <f>'Financial Position'!E24/'Financial Position'!E$27</f>
        <v>5.2152766464495924E-2</v>
      </c>
      <c r="F25" s="63">
        <f>'Financial Position'!F24/'Financial Position'!F$27</f>
        <v>5.5557492069973458E-2</v>
      </c>
      <c r="G25" s="63">
        <f>'Financial Position'!G24/'Financial Position'!G$27</f>
        <v>6.0671892867381623E-2</v>
      </c>
      <c r="H25" s="63">
        <f>'Financial Position'!H24/'Financial Position'!H$27</f>
        <v>0.17456751867154371</v>
      </c>
      <c r="I25" s="63">
        <f>'Financial Position'!I24/'Financial Position'!I$27</f>
        <v>0.17002449740366682</v>
      </c>
    </row>
    <row r="26" spans="2:9" ht="20" customHeight="1" x14ac:dyDescent="0.35">
      <c r="B26" s="67" t="s">
        <v>18</v>
      </c>
      <c r="C26" s="59"/>
      <c r="D26" s="64">
        <f>'Financial Position'!D27/'Financial Position'!D$27</f>
        <v>1</v>
      </c>
      <c r="E26" s="64">
        <f>'Financial Position'!E27/'Financial Position'!E$27</f>
        <v>1</v>
      </c>
      <c r="F26" s="64">
        <f>'Financial Position'!F27/'Financial Position'!F$27</f>
        <v>1</v>
      </c>
      <c r="G26" s="64">
        <f>'Financial Position'!G27/'Financial Position'!G$27</f>
        <v>1</v>
      </c>
      <c r="H26" s="64">
        <f>'Financial Position'!H27/'Financial Position'!H$27</f>
        <v>1</v>
      </c>
      <c r="I26" s="64">
        <f>'Financial Position'!I27/'Financial Position'!I$27</f>
        <v>1</v>
      </c>
    </row>
    <row r="27" spans="2:9" ht="20" customHeight="1" x14ac:dyDescent="0.35">
      <c r="B27" s="66" t="s">
        <v>26</v>
      </c>
      <c r="C27" s="59"/>
      <c r="D27" s="63">
        <f>'Financial Position'!D38/'Financial Position'!D$27</f>
        <v>0.31279461407006953</v>
      </c>
      <c r="E27" s="63">
        <f>'Financial Position'!E38/'Financial Position'!E$27</f>
        <v>0.22440681352960776</v>
      </c>
      <c r="F27" s="63">
        <f>'Financial Position'!F38/'Financial Position'!F$27</f>
        <v>0.24127738577193061</v>
      </c>
      <c r="G27" s="63">
        <f>'Financial Position'!G38/'Financial Position'!G$27</f>
        <v>0.12877975122382807</v>
      </c>
      <c r="H27" s="63">
        <f>'Financial Position'!H38/'Financial Position'!H$27</f>
        <v>0.15646611725680099</v>
      </c>
      <c r="I27" s="63">
        <f>'Financial Position'!I38/'Financial Position'!I$27</f>
        <v>0.1783694382055771</v>
      </c>
    </row>
    <row r="28" spans="2:9" ht="20" customHeight="1" x14ac:dyDescent="0.35">
      <c r="B28" s="66" t="s">
        <v>29</v>
      </c>
      <c r="C28" s="59"/>
      <c r="D28" s="63">
        <f>'Financial Position'!D42/'Financial Position'!D$27</f>
        <v>0.24719265789183345</v>
      </c>
      <c r="E28" s="63">
        <f>'Financial Position'!E42/'Financial Position'!E$27</f>
        <v>0.37879082440479561</v>
      </c>
      <c r="F28" s="63">
        <f>'Financial Position'!F42/'Financial Position'!F$27</f>
        <v>0.36135110057647268</v>
      </c>
      <c r="G28" s="63">
        <f>'Financial Position'!G42/'Financial Position'!G$27</f>
        <v>0.42612109908661494</v>
      </c>
      <c r="H28" s="63">
        <f>'Financial Position'!H42/'Financial Position'!H$27</f>
        <v>0.30989270958283355</v>
      </c>
      <c r="I28" s="63">
        <f>'Financial Position'!I42/'Financial Position'!I$27</f>
        <v>0.29462057337366665</v>
      </c>
    </row>
    <row r="29" spans="2:9" ht="20" customHeight="1" x14ac:dyDescent="0.35">
      <c r="B29" s="66" t="s">
        <v>30</v>
      </c>
      <c r="C29" s="59"/>
      <c r="D29" s="63">
        <f>'Financial Position'!D43 / 'Financial Position'!D$27</f>
        <v>0.33187814797575421</v>
      </c>
      <c r="E29" s="63">
        <f>'Financial Position'!E43 / 'Financial Position'!E$27</f>
        <v>0.37567139371812219</v>
      </c>
      <c r="F29" s="63">
        <f>'Financial Position'!F43 / 'Financial Position'!F$27</f>
        <v>0.36142330489976876</v>
      </c>
      <c r="G29" s="63">
        <f>'Financial Position'!G43 / 'Financial Position'!G$27</f>
        <v>0.34856439700000397</v>
      </c>
      <c r="H29" s="63">
        <f>'Financial Position'!H43 / 'Financial Position'!H$27</f>
        <v>0.33139090042995145</v>
      </c>
      <c r="I29" s="63">
        <f>'Financial Position'!I43 / 'Financial Position'!I$27</f>
        <v>0.31656768565422727</v>
      </c>
    </row>
    <row r="30" spans="2:9" ht="20" customHeight="1" x14ac:dyDescent="0.35">
      <c r="B30" s="67" t="s">
        <v>31</v>
      </c>
      <c r="C30" s="59"/>
      <c r="D30" s="64">
        <f>'Financial Position'!D45/'Financial Position'!D27</f>
        <v>0.92072108502736671</v>
      </c>
      <c r="E30" s="64">
        <f>'Financial Position'!E45/'Financial Position'!E27</f>
        <v>1.0162502750050326</v>
      </c>
      <c r="F30" s="64">
        <f>'Financial Position'!F45/'Financial Position'!F27</f>
        <v>0.99410538843436125</v>
      </c>
      <c r="G30" s="64">
        <f>'Financial Position'!G45/'Financial Position'!G27</f>
        <v>0.92764505404753816</v>
      </c>
      <c r="H30" s="64">
        <f>'Financial Position'!H45/'Financial Position'!H27</f>
        <v>0.81670017178313858</v>
      </c>
      <c r="I30" s="64">
        <f>'Financial Position'!I45/'Financial Position'!I27</f>
        <v>0.80738023315135365</v>
      </c>
    </row>
    <row r="31" spans="2:9" x14ac:dyDescent="0.35">
      <c r="B31" s="67" t="s">
        <v>38</v>
      </c>
      <c r="C31" s="59"/>
      <c r="D31" s="64">
        <f>'Financial Position'!D53/'Financial Position'!D$27</f>
        <v>7.9278914972633299E-2</v>
      </c>
      <c r="E31" s="64">
        <f>'Financial Position'!E53/'Financial Position'!E$27</f>
        <v>-1.6250275005032531E-2</v>
      </c>
      <c r="F31" s="64">
        <f>'Financial Position'!F53/'Financial Position'!F$27</f>
        <v>5.8946115656387096E-3</v>
      </c>
      <c r="G31" s="64">
        <f>'Financial Position'!G53/'Financial Position'!G$27</f>
        <v>7.2354945952461877E-2</v>
      </c>
      <c r="H31" s="64">
        <f>'Financial Position'!H53/'Financial Position'!H$27</f>
        <v>0.18329982821686142</v>
      </c>
      <c r="I31" s="64">
        <f>'Financial Position'!I53/'Financial Position'!I$27</f>
        <v>0.19261976684864637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F4B6-8BD7-4248-9BA3-1E66160CF616}">
  <sheetPr>
    <tabColor theme="4" tint="-0.249977111117893"/>
  </sheetPr>
  <dimension ref="B1:I32"/>
  <sheetViews>
    <sheetView showGridLines="0" workbookViewId="0">
      <pane xSplit="3" ySplit="6" topLeftCell="D30" activePane="bottomRight" state="frozen"/>
      <selection activeCell="B11" sqref="B11"/>
      <selection pane="topRight" activeCell="B11" sqref="B11"/>
      <selection pane="bottomLeft" activeCell="B11" sqref="B11"/>
      <selection pane="bottomRight" activeCell="B13" sqref="B13:B32"/>
    </sheetView>
  </sheetViews>
  <sheetFormatPr defaultColWidth="8.6328125" defaultRowHeight="14.5" x14ac:dyDescent="0.35"/>
  <cols>
    <col min="1" max="1" width="3.1796875" customWidth="1"/>
    <col min="2" max="2" width="46" customWidth="1"/>
    <col min="3" max="3" width="2" customWidth="1"/>
    <col min="4" max="12" width="13" customWidth="1"/>
  </cols>
  <sheetData>
    <row r="1" spans="2:9" ht="15" customHeight="1" x14ac:dyDescent="0.35"/>
    <row r="2" spans="2:9" ht="16.5" x14ac:dyDescent="0.35">
      <c r="B2" s="139" t="s">
        <v>49</v>
      </c>
      <c r="C2" s="139"/>
      <c r="D2" s="139"/>
      <c r="E2" s="139"/>
      <c r="F2" s="139"/>
      <c r="G2" s="139"/>
      <c r="H2" s="139"/>
    </row>
    <row r="3" spans="2:9" ht="18" x14ac:dyDescent="0.4">
      <c r="B3" s="57" t="s">
        <v>138</v>
      </c>
      <c r="C3" s="69"/>
      <c r="D3" s="69"/>
      <c r="E3" s="69"/>
      <c r="F3" s="69"/>
      <c r="G3" s="69"/>
      <c r="H3" s="69"/>
      <c r="I3" s="69"/>
    </row>
    <row r="4" spans="2:9" x14ac:dyDescent="0.35">
      <c r="B4" s="55" t="s">
        <v>139</v>
      </c>
      <c r="C4" s="69"/>
      <c r="D4" s="69"/>
      <c r="E4" s="69"/>
      <c r="F4" s="69"/>
      <c r="G4" s="69"/>
      <c r="H4" s="69"/>
      <c r="I4" s="69"/>
    </row>
    <row r="5" spans="2:9" x14ac:dyDescent="0.35">
      <c r="B5" s="70"/>
      <c r="C5" s="69"/>
      <c r="D5" s="69"/>
      <c r="E5" s="69"/>
      <c r="F5" s="69"/>
      <c r="G5" s="69"/>
      <c r="H5" s="69"/>
      <c r="I5" s="69"/>
    </row>
    <row r="6" spans="2:9" ht="30" customHeight="1" x14ac:dyDescent="0.35">
      <c r="B6" s="72" t="s">
        <v>140</v>
      </c>
      <c r="C6" s="73"/>
      <c r="D6" s="71" t="s">
        <v>48</v>
      </c>
      <c r="E6" s="71" t="s">
        <v>47</v>
      </c>
      <c r="F6" s="71" t="s">
        <v>43</v>
      </c>
      <c r="G6" s="71" t="s">
        <v>42</v>
      </c>
      <c r="H6" s="71" t="s">
        <v>45</v>
      </c>
      <c r="I6" s="71" t="s">
        <v>44</v>
      </c>
    </row>
    <row r="7" spans="2:9" ht="30" customHeight="1" x14ac:dyDescent="0.35">
      <c r="B7" s="74" t="s">
        <v>141</v>
      </c>
      <c r="C7" s="73"/>
      <c r="D7" s="73"/>
      <c r="E7" s="73"/>
      <c r="F7" s="73"/>
      <c r="G7" s="73"/>
      <c r="H7" s="73"/>
      <c r="I7" s="73"/>
    </row>
    <row r="8" spans="2:9" ht="30" customHeight="1" x14ac:dyDescent="0.35">
      <c r="B8" s="75" t="s">
        <v>145</v>
      </c>
      <c r="C8" s="73"/>
      <c r="D8" s="79">
        <f>'Financial Position'!D16/'Financial Position'!D38</f>
        <v>0.83287250267756108</v>
      </c>
      <c r="E8" s="79">
        <f>'Financial Position'!E16/'Financial Position'!E38</f>
        <v>0.78668064494550338</v>
      </c>
      <c r="F8" s="79">
        <f>'Financial Position'!F16/'Financial Position'!F38</f>
        <v>0.99490314513868228</v>
      </c>
      <c r="G8" s="79">
        <f>'Financial Position'!G16/'Financial Position'!G38</f>
        <v>1.9312542966986601</v>
      </c>
      <c r="H8" s="79">
        <f>'Financial Position'!H16/'Financial Position'!H38</f>
        <v>1.1843368766427489</v>
      </c>
      <c r="I8" s="79">
        <f>'Financial Position'!I16/'Financial Position'!I38</f>
        <v>1.1289220496684786</v>
      </c>
    </row>
    <row r="9" spans="2:9" ht="30" customHeight="1" x14ac:dyDescent="0.35">
      <c r="B9" s="75" t="s">
        <v>146</v>
      </c>
      <c r="C9" s="73"/>
      <c r="D9" s="77">
        <f>('Financial Position'!D16-'Financial Position'!D14-'Financial Position'!D13)/'Financial Position'!D16</f>
        <v>0.41818783273141019</v>
      </c>
      <c r="E9" s="77">
        <f>('Financial Position'!E16-'Financial Position'!E14-'Financial Position'!E13)/'Financial Position'!E16</f>
        <v>0.15794565403761254</v>
      </c>
      <c r="F9" s="77">
        <f>('Financial Position'!F16-'Financial Position'!F14-'Financial Position'!F13)/'Financial Position'!F16</f>
        <v>0.15239505353313507</v>
      </c>
      <c r="G9" s="77">
        <f>('Financial Position'!G16-'Financial Position'!G14-'Financial Position'!G13)/'Financial Position'!G16</f>
        <v>0.28921780194378854</v>
      </c>
      <c r="H9" s="77">
        <f>('Financial Position'!H16-'Financial Position'!H14-'Financial Position'!H13)/'Financial Position'!H16</f>
        <v>0.22165856419818861</v>
      </c>
      <c r="I9" s="77">
        <f>('Financial Position'!I16-'Financial Position'!I14-'Financial Position'!I13)/'Financial Position'!I16</f>
        <v>0.24991113602003695</v>
      </c>
    </row>
    <row r="10" spans="2:9" ht="30" customHeight="1" x14ac:dyDescent="0.35">
      <c r="B10" s="75" t="s">
        <v>147</v>
      </c>
      <c r="C10" s="73"/>
      <c r="D10" s="26">
        <f>'Financial Position'!D16-'Financial Position'!D38</f>
        <v>-220803</v>
      </c>
      <c r="E10" s="26">
        <f>'Financial Position'!E16-'Financial Position'!E38</f>
        <v>-194524</v>
      </c>
      <c r="F10" s="26">
        <f>'Financial Position'!F16-'Financial Position'!F38</f>
        <v>-5927</v>
      </c>
      <c r="G10" s="26">
        <f>'Financial Position'!G16-'Financial Position'!G38</f>
        <v>631247</v>
      </c>
      <c r="H10" s="26">
        <f>'Financial Position'!H16-'Financial Position'!H38</f>
        <v>186974</v>
      </c>
      <c r="I10" s="26">
        <f>'Financial Position'!I16-'Financial Position'!I38</f>
        <v>173810</v>
      </c>
    </row>
    <row r="11" spans="2:9" ht="30" customHeight="1" x14ac:dyDescent="0.35">
      <c r="B11" s="76"/>
      <c r="C11" s="73"/>
      <c r="D11" s="73"/>
      <c r="E11" s="73"/>
      <c r="F11" s="73"/>
      <c r="G11" s="73"/>
      <c r="H11" s="73"/>
      <c r="I11" s="73"/>
    </row>
    <row r="12" spans="2:9" ht="30" customHeight="1" x14ac:dyDescent="0.35">
      <c r="B12" s="74" t="s">
        <v>142</v>
      </c>
      <c r="C12" s="73"/>
      <c r="D12" s="73"/>
      <c r="E12" s="73"/>
      <c r="F12" s="73"/>
      <c r="G12" s="73"/>
      <c r="H12" s="73"/>
      <c r="I12" s="73"/>
    </row>
    <row r="13" spans="2:9" ht="30" customHeight="1" x14ac:dyDescent="0.35">
      <c r="B13" s="75" t="s">
        <v>81</v>
      </c>
      <c r="C13" s="73"/>
      <c r="D13" s="81">
        <f>'Income Statement'!D9/'Income Statement'!D7</f>
        <v>0.4383749281901636</v>
      </c>
      <c r="E13" s="81">
        <f>'Income Statement'!E9/'Income Statement'!E7</f>
        <v>0.4392357370910101</v>
      </c>
      <c r="F13" s="81">
        <f>'Income Statement'!F9/'Income Statement'!F7</f>
        <v>0.43505218256783795</v>
      </c>
      <c r="G13" s="81">
        <f>'Income Statement'!G9/'Income Statement'!G7</f>
        <v>0.44542116813251914</v>
      </c>
      <c r="H13" s="81">
        <f>'Income Statement'!H9/'Income Statement'!H7</f>
        <v>0.45122104677190367</v>
      </c>
      <c r="I13" s="81">
        <f>'Income Statement'!I9/'Income Statement'!I7</f>
        <v>0.45049280887968363</v>
      </c>
    </row>
    <row r="14" spans="2:9" ht="30" customHeight="1" x14ac:dyDescent="0.35">
      <c r="B14" s="75" t="s">
        <v>148</v>
      </c>
      <c r="C14" s="73"/>
      <c r="D14" s="81">
        <f>'Income Statement'!D13/'Income Statement'!D7</f>
        <v>0.2138461534640469</v>
      </c>
      <c r="E14" s="81">
        <f>'Income Statement'!E13/'Income Statement'!E7</f>
        <v>0.22735426868395647</v>
      </c>
      <c r="F14" s="81">
        <f>'Income Statement'!F13/'Income Statement'!F7</f>
        <v>0.23581279942906236</v>
      </c>
      <c r="G14" s="81">
        <f>'Income Statement'!G13/'Income Statement'!G7</f>
        <v>0.25492283737047811</v>
      </c>
      <c r="H14" s="81">
        <f>'Income Statement'!H13/'Income Statement'!H7</f>
        <v>0.26674556711254777</v>
      </c>
      <c r="I14" s="81">
        <f>'Income Statement'!I13/'Income Statement'!I7</f>
        <v>0.26707892797909077</v>
      </c>
    </row>
    <row r="15" spans="2:9" ht="30" customHeight="1" x14ac:dyDescent="0.35">
      <c r="B15" s="75" t="s">
        <v>149</v>
      </c>
      <c r="C15" s="73"/>
      <c r="D15" s="81">
        <f>'Income Statement'!D18/'Income Statement'!D7</f>
        <v>0.14016683973882454</v>
      </c>
      <c r="E15" s="81">
        <f>'Income Statement'!E18/'Income Statement'!E7</f>
        <v>0.15312990026464171</v>
      </c>
      <c r="F15" s="81">
        <f>'Income Statement'!F18/'Income Statement'!F7</f>
        <v>0.15869861526644646</v>
      </c>
      <c r="G15" s="81">
        <f>'Income Statement'!G18/'Income Statement'!G7</f>
        <v>0.1722174992858784</v>
      </c>
      <c r="H15" s="81">
        <f>'Income Statement'!H18/'Income Statement'!H7</f>
        <v>0.18221091211878104</v>
      </c>
      <c r="I15" s="81">
        <f>'Income Statement'!I18/'Income Statement'!I7</f>
        <v>0.18046890784886035</v>
      </c>
    </row>
    <row r="16" spans="2:9" ht="30" customHeight="1" x14ac:dyDescent="0.35">
      <c r="B16" s="75" t="s">
        <v>150</v>
      </c>
      <c r="C16" s="73"/>
      <c r="D16" s="81">
        <f>'Income Statement'!D18/'Financial Position'!D27</f>
        <v>0.13361314813911632</v>
      </c>
      <c r="E16" s="81">
        <f>'Income Statement'!E18/'Financial Position'!E27</f>
        <v>0.1631989372870403</v>
      </c>
      <c r="F16" s="81">
        <f>'Income Statement'!F18/'Financial Position'!F27</f>
        <v>0.16637349221604197</v>
      </c>
      <c r="G16" s="81">
        <f>'Income Statement'!G18/'Financial Position'!G27</f>
        <v>0.1919710191129391</v>
      </c>
      <c r="H16" s="81">
        <f>'Income Statement'!H18/'Financial Position'!H27</f>
        <v>0.18025891495253751</v>
      </c>
      <c r="I16" s="81">
        <f>'Income Statement'!I18/'Financial Position'!I27</f>
        <v>0.17324384998211251</v>
      </c>
    </row>
    <row r="17" spans="2:9" ht="30" customHeight="1" x14ac:dyDescent="0.35">
      <c r="B17" s="75" t="s">
        <v>151</v>
      </c>
      <c r="C17" s="73"/>
      <c r="D17" s="82">
        <f>'Income Statement'!D18/'Financial Position'!D53</f>
        <v>1.6853554086258489</v>
      </c>
      <c r="E17" s="82">
        <f>'Income Statement'!E18/'Financial Position'!E53</f>
        <v>-10.042841566465761</v>
      </c>
      <c r="F17" s="82">
        <f>'Income Statement'!F18/'Financial Position'!F53</f>
        <v>28.224674410418867</v>
      </c>
      <c r="G17" s="82">
        <f>'Income Statement'!G18/'Financial Position'!G53</f>
        <v>2.6531844725454774</v>
      </c>
      <c r="H17" s="81">
        <f>'Income Statement'!H18/'Financial Position'!H53</f>
        <v>0.9834101684987604</v>
      </c>
      <c r="I17" s="81">
        <f>'Income Statement'!I18/'Financial Position'!I53</f>
        <v>0.89940847098128429</v>
      </c>
    </row>
    <row r="18" spans="2:9" ht="30" customHeight="1" x14ac:dyDescent="0.35">
      <c r="B18" s="76"/>
      <c r="C18" s="73"/>
      <c r="D18" s="78"/>
      <c r="E18" s="78"/>
      <c r="F18" s="78"/>
      <c r="G18" s="78"/>
      <c r="H18" s="78"/>
      <c r="I18" s="78"/>
    </row>
    <row r="19" spans="2:9" ht="30" customHeight="1" x14ac:dyDescent="0.35">
      <c r="B19" s="74" t="s">
        <v>143</v>
      </c>
      <c r="C19" s="73"/>
      <c r="D19" s="78"/>
      <c r="E19" s="78"/>
      <c r="F19" s="78"/>
      <c r="G19" s="78"/>
      <c r="H19" s="78"/>
      <c r="I19" s="78"/>
    </row>
    <row r="20" spans="2:9" ht="30" customHeight="1" x14ac:dyDescent="0.35">
      <c r="B20" s="75" t="s">
        <v>152</v>
      </c>
      <c r="C20" s="73"/>
      <c r="D20" s="77">
        <f>'Income Statement'!D8/'Financial Position'!D14</f>
        <v>3.5855547010647659</v>
      </c>
      <c r="E20" s="77">
        <f>'Income Statement'!E8/'Financial Position'!E14</f>
        <v>4.1097055981534094</v>
      </c>
      <c r="F20" s="77">
        <f>'Income Statement'!F8/'Financial Position'!F14</f>
        <v>2.9822591968841548</v>
      </c>
      <c r="G20" s="77">
        <f>'Income Statement'!G8/'Financial Position'!G14</f>
        <v>3.5491540250345763</v>
      </c>
      <c r="H20" s="77">
        <f>'Income Statement'!H8/'Financial Position'!H14</f>
        <v>3.8208860106720803</v>
      </c>
      <c r="I20" s="77">
        <f>'Income Statement'!I8/'Financial Position'!I14</f>
        <v>3.6141944841027036</v>
      </c>
    </row>
    <row r="21" spans="2:9" ht="30" customHeight="1" x14ac:dyDescent="0.35">
      <c r="B21" s="75" t="s">
        <v>153</v>
      </c>
      <c r="C21" s="73"/>
      <c r="D21" s="80">
        <f>365/D20</f>
        <v>101.79735924586777</v>
      </c>
      <c r="E21" s="80">
        <f t="shared" ref="E21:I21" si="0">365/E20</f>
        <v>88.814147700507633</v>
      </c>
      <c r="F21" s="80">
        <f t="shared" si="0"/>
        <v>122.39043486942707</v>
      </c>
      <c r="G21" s="80">
        <f t="shared" si="0"/>
        <v>102.84140880486136</v>
      </c>
      <c r="H21" s="80">
        <f t="shared" si="0"/>
        <v>95.527581555828149</v>
      </c>
      <c r="I21" s="80">
        <f t="shared" si="0"/>
        <v>100.99069145434176</v>
      </c>
    </row>
    <row r="22" spans="2:9" ht="30" customHeight="1" x14ac:dyDescent="0.35">
      <c r="B22" s="75" t="s">
        <v>154</v>
      </c>
      <c r="C22" s="73"/>
      <c r="D22" s="80">
        <f>'Financial Position'!D31/'Income Statement'!D8*365</f>
        <v>40.849690082644628</v>
      </c>
      <c r="E22" s="80">
        <f>'Financial Position'!E31/'Income Statement'!E8*365</f>
        <v>42.552642826789473</v>
      </c>
      <c r="F22" s="80">
        <f>'Financial Position'!F31/'Income Statement'!F8*365</f>
        <v>43.073435778506827</v>
      </c>
      <c r="G22" s="80">
        <f>'Financial Position'!G31/'Income Statement'!G8*365</f>
        <v>37.505775364815285</v>
      </c>
      <c r="H22" s="80">
        <f>'Financial Position'!H31/'Income Statement'!H8*365</f>
        <v>36.806994603339945</v>
      </c>
      <c r="I22" s="80">
        <f>'Financial Position'!I31/'Income Statement'!I8*365</f>
        <v>42.272592861609056</v>
      </c>
    </row>
    <row r="23" spans="2:9" ht="30" customHeight="1" x14ac:dyDescent="0.35">
      <c r="B23" s="75" t="s">
        <v>155</v>
      </c>
      <c r="C23" s="73"/>
      <c r="D23" s="80">
        <f>'Financial Position'!D10/'Income Statement'!D8*365</f>
        <v>3.3164385330578514</v>
      </c>
      <c r="E23" s="80">
        <f>'Financial Position'!E10/'Income Statement'!E8*365</f>
        <v>3.946781105983193</v>
      </c>
      <c r="F23" s="80">
        <f>'Financial Position'!F10/'Income Statement'!F8*365</f>
        <v>7.197617125030872</v>
      </c>
      <c r="G23" s="80">
        <f>'Financial Position'!G10/'Income Statement'!G8*365</f>
        <v>3.6427009130869448</v>
      </c>
      <c r="H23" s="80">
        <f>'Financial Position'!H10/'Income Statement'!H8*365</f>
        <v>4.8368684539604629</v>
      </c>
      <c r="I23" s="80">
        <f>'Financial Position'!I10/'Income Statement'!I8*365</f>
        <v>3.5245012087766292</v>
      </c>
    </row>
    <row r="24" spans="2:9" ht="30" customHeight="1" x14ac:dyDescent="0.35">
      <c r="B24" s="75" t="s">
        <v>156</v>
      </c>
      <c r="C24" s="73"/>
      <c r="D24" s="77">
        <f>'Income Statement'!D7/'Financial Position'!D27</f>
        <v>0.95324363728311312</v>
      </c>
      <c r="E24" s="77">
        <f>'Income Statement'!E7/'Financial Position'!E27</f>
        <v>1.0657548722032542</v>
      </c>
      <c r="F24" s="77">
        <f>'Income Statement'!F7/'Financial Position'!F27</f>
        <v>1.0483613353318162</v>
      </c>
      <c r="G24" s="77">
        <f>'Income Statement'!G7/'Financial Position'!G27</f>
        <v>1.1147010025634512</v>
      </c>
      <c r="H24" s="77">
        <f>'Income Statement'!H7/'Financial Position'!H27</f>
        <v>0.98928715550816715</v>
      </c>
      <c r="I24" s="77">
        <f>'Income Statement'!I7/'Financial Position'!I27</f>
        <v>0.95996508233540856</v>
      </c>
    </row>
    <row r="25" spans="2:9" ht="30" customHeight="1" x14ac:dyDescent="0.35">
      <c r="B25" s="76"/>
      <c r="C25" s="73"/>
      <c r="D25" s="78"/>
      <c r="E25" s="78"/>
      <c r="F25" s="78"/>
      <c r="G25" s="78"/>
      <c r="H25" s="78"/>
      <c r="I25" s="78"/>
    </row>
    <row r="26" spans="2:9" ht="30" customHeight="1" x14ac:dyDescent="0.35">
      <c r="B26" s="74" t="s">
        <v>144</v>
      </c>
      <c r="C26" s="73"/>
      <c r="D26" s="78"/>
      <c r="E26" s="78"/>
      <c r="F26" s="78"/>
      <c r="G26" s="78"/>
      <c r="H26" s="78"/>
      <c r="I26" s="78"/>
    </row>
    <row r="27" spans="2:9" ht="30" customHeight="1" x14ac:dyDescent="0.35">
      <c r="B27" s="75" t="s">
        <v>157</v>
      </c>
      <c r="C27" s="73"/>
      <c r="D27" s="83">
        <f>'Financial Position'!D45/'Financial Position'!D53</f>
        <v>11.613694326482586</v>
      </c>
      <c r="E27" s="83">
        <f>'Financial Position'!E45/'Financial Position'!E53</f>
        <v>-62.537420116909473</v>
      </c>
      <c r="F27" s="83">
        <f>'Financial Position'!F45/'Financial Position'!F53</f>
        <v>168.64646251319957</v>
      </c>
      <c r="G27" s="83">
        <f>'Financial Position'!G45/'Financial Position'!G53</f>
        <v>12.820755261941772</v>
      </c>
      <c r="H27" s="77">
        <f>'Financial Position'!H45/'Financial Position'!H53</f>
        <v>4.4555424831980934</v>
      </c>
      <c r="I27" s="77">
        <f>'Financial Position'!I45/'Financial Position'!I53</f>
        <v>4.1915751761124485</v>
      </c>
    </row>
    <row r="28" spans="2:9" ht="30" customHeight="1" x14ac:dyDescent="0.35">
      <c r="B28" s="75" t="s">
        <v>158</v>
      </c>
      <c r="C28" s="73"/>
      <c r="D28" s="77">
        <f>'Financial Position'!D45/'Financial Position'!D27</f>
        <v>0.92072108502736671</v>
      </c>
      <c r="E28" s="77">
        <f>'Financial Position'!E45/'Financial Position'!E27</f>
        <v>1.0162502750050326</v>
      </c>
      <c r="F28" s="77">
        <f>'Financial Position'!F45/'Financial Position'!F27</f>
        <v>0.99410538843436125</v>
      </c>
      <c r="G28" s="77">
        <f>'Financial Position'!G45/'Financial Position'!G27</f>
        <v>0.92764505404753816</v>
      </c>
      <c r="H28" s="77">
        <f>'Financial Position'!H45/'Financial Position'!H27</f>
        <v>0.81670017178313858</v>
      </c>
      <c r="I28" s="77">
        <f>'Financial Position'!I45/'Financial Position'!I27</f>
        <v>0.80738023315135365</v>
      </c>
    </row>
    <row r="29" spans="2:9" ht="30" customHeight="1" x14ac:dyDescent="0.35">
      <c r="B29" s="75" t="s">
        <v>159</v>
      </c>
      <c r="C29" s="73"/>
      <c r="D29" s="12">
        <f>'Income Statement'!D13+'Income Statement'!D11</f>
        <v>1130633</v>
      </c>
      <c r="E29" s="12">
        <f>'Income Statement'!E13+'Income Statement'!E11</f>
        <v>1282577</v>
      </c>
      <c r="F29" s="12">
        <f>'Income Statement'!F13+'Income Statement'!F11</f>
        <v>1523293</v>
      </c>
      <c r="G29" s="12">
        <f>'Income Statement'!G13+'Income Statement'!G11</f>
        <v>1843863</v>
      </c>
      <c r="H29" s="12">
        <f>'Income Statement'!H13+'Income Statement'!H11</f>
        <v>2093483</v>
      </c>
      <c r="I29" s="12">
        <f>'Income Statement'!I13+'Income Statement'!I11</f>
        <v>2366912</v>
      </c>
    </row>
    <row r="30" spans="2:9" ht="30" customHeight="1" x14ac:dyDescent="0.35">
      <c r="B30" s="75" t="s">
        <v>160</v>
      </c>
      <c r="C30" s="73"/>
      <c r="D30" s="12">
        <f>'Financial Position'!D32+'Financial Position'!D36+'Financial Position'!D42</f>
        <v>1876900</v>
      </c>
      <c r="E30" s="12">
        <f>'Financial Position'!E32+'Financial Position'!E36+'Financial Position'!E42</f>
        <v>1886300</v>
      </c>
      <c r="F30" s="12">
        <f>'Financial Position'!F32+'Financial Position'!F36+'Financial Position'!F42</f>
        <v>2251903</v>
      </c>
      <c r="G30" s="12">
        <f>'Financial Position'!G32+'Financial Position'!G36+'Financial Position'!G42</f>
        <v>2264394</v>
      </c>
      <c r="H30" s="12">
        <f>'Financial Position'!H32+'Financial Position'!H36+'Financial Position'!H42</f>
        <v>2282679</v>
      </c>
      <c r="I30" s="12">
        <f>'Financial Position'!I32+'Financial Position'!I36+'Financial Position'!I42</f>
        <v>2625121</v>
      </c>
    </row>
    <row r="31" spans="2:9" ht="30" customHeight="1" x14ac:dyDescent="0.35">
      <c r="B31" s="75" t="s">
        <v>161</v>
      </c>
      <c r="C31" s="73"/>
      <c r="D31" s="77">
        <f>(D30-'Financial Position'!D9)/Ratio!D29</f>
        <v>1.2716381000731449</v>
      </c>
      <c r="E31" s="77">
        <f>(E30-'Financial Position'!E9)/Ratio!E29</f>
        <v>1.4153083986380546</v>
      </c>
      <c r="F31" s="77">
        <f>(F30-'Financial Position'!F9)/Ratio!F29</f>
        <v>1.4118373812523264</v>
      </c>
      <c r="G31" s="77">
        <f>(G30-'Financial Position'!G9)/Ratio!G29</f>
        <v>1.0578220833109617</v>
      </c>
      <c r="H31" s="77">
        <f>(H30-'Financial Position'!H9)/Ratio!H29</f>
        <v>1.0317704992111232</v>
      </c>
      <c r="I31" s="77">
        <f>(I30-'Financial Position'!I9)/Ratio!I29</f>
        <v>0.96900602979747452</v>
      </c>
    </row>
    <row r="32" spans="2:9" ht="30" customHeight="1" x14ac:dyDescent="0.35">
      <c r="B32" s="75" t="s">
        <v>162</v>
      </c>
      <c r="C32" s="73"/>
      <c r="D32" s="77">
        <f>'Income Statement'!D13/'Income Statement'!D15</f>
        <v>9.0019446709742166</v>
      </c>
      <c r="E32" s="77">
        <f>'Income Statement'!E13/'Income Statement'!E15</f>
        <v>10.794345290299947</v>
      </c>
      <c r="F32" s="77">
        <f>'Income Statement'!F13/'Income Statement'!F15</f>
        <v>10.325502192488344</v>
      </c>
      <c r="G32" s="77">
        <f>'Income Statement'!G13/'Income Statement'!G15</f>
        <v>10.326569641402356</v>
      </c>
      <c r="H32" s="77">
        <f>'Income Statement'!H13/'Income Statement'!H15</f>
        <v>10.444847419130307</v>
      </c>
      <c r="I32" s="77">
        <f>'Income Statement'!I13/'Income Statement'!I15</f>
        <v>10.530697750244538</v>
      </c>
    </row>
  </sheetData>
  <mergeCells count="1">
    <mergeCell ref="B2:H2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619C-0AA1-43CD-A1C0-744BF3778F3D}">
  <sheetPr>
    <tabColor theme="4" tint="-0.249977111117893"/>
  </sheetPr>
  <dimension ref="B2:I14"/>
  <sheetViews>
    <sheetView showGridLines="0" workbookViewId="0">
      <selection activeCell="F13" sqref="F13"/>
    </sheetView>
  </sheetViews>
  <sheetFormatPr defaultColWidth="8.6328125" defaultRowHeight="14.5" x14ac:dyDescent="0.35"/>
  <cols>
    <col min="1" max="1" width="3.1796875" customWidth="1"/>
    <col min="2" max="2" width="46" customWidth="1"/>
    <col min="3" max="3" width="2" customWidth="1"/>
    <col min="4" max="12" width="13" customWidth="1"/>
  </cols>
  <sheetData>
    <row r="2" spans="2:9" ht="16.5" x14ac:dyDescent="0.35">
      <c r="B2" s="139" t="s">
        <v>49</v>
      </c>
      <c r="C2" s="139"/>
      <c r="D2" s="139"/>
      <c r="E2" s="139"/>
      <c r="F2" s="139"/>
      <c r="G2" s="139"/>
      <c r="H2" s="139"/>
    </row>
    <row r="3" spans="2:9" ht="18" x14ac:dyDescent="0.4">
      <c r="B3" s="57" t="s">
        <v>260</v>
      </c>
    </row>
    <row r="4" spans="2:9" ht="14.5" customHeight="1" x14ac:dyDescent="0.35">
      <c r="B4" s="140" t="s">
        <v>261</v>
      </c>
      <c r="C4" s="140"/>
      <c r="D4" s="140"/>
      <c r="E4" s="140"/>
      <c r="F4" s="140"/>
      <c r="G4" s="140"/>
      <c r="H4" s="140"/>
      <c r="I4" s="140"/>
    </row>
    <row r="5" spans="2:9" ht="31" customHeight="1" x14ac:dyDescent="0.35">
      <c r="B5" s="140" t="s">
        <v>262</v>
      </c>
      <c r="C5" s="140"/>
      <c r="D5" s="140"/>
      <c r="E5" s="140"/>
      <c r="F5" s="140"/>
      <c r="G5" s="140"/>
      <c r="H5" s="140"/>
      <c r="I5" s="140"/>
    </row>
    <row r="7" spans="2:9" ht="25" customHeight="1" x14ac:dyDescent="0.35">
      <c r="B7" s="132" t="s">
        <v>140</v>
      </c>
      <c r="D7" s="71" t="s">
        <v>48</v>
      </c>
      <c r="E7" s="71" t="s">
        <v>47</v>
      </c>
      <c r="F7" s="71" t="s">
        <v>43</v>
      </c>
      <c r="G7" s="71" t="s">
        <v>42</v>
      </c>
      <c r="H7" s="71" t="s">
        <v>45</v>
      </c>
      <c r="I7" s="71" t="s">
        <v>44</v>
      </c>
    </row>
    <row r="8" spans="2:9" ht="25" customHeight="1" x14ac:dyDescent="0.35">
      <c r="B8" s="133" t="s">
        <v>263</v>
      </c>
      <c r="D8" s="63">
        <f>'Income Statement'!D18/'Income Statement'!D7</f>
        <v>0.14016683973882454</v>
      </c>
      <c r="E8" s="63">
        <f>'Income Statement'!E18/'Income Statement'!E7</f>
        <v>0.15312990026464171</v>
      </c>
      <c r="F8" s="63">
        <f>'Income Statement'!F18/'Income Statement'!F7</f>
        <v>0.15869861526644646</v>
      </c>
      <c r="G8" s="63">
        <f>'Income Statement'!G18/'Income Statement'!G7</f>
        <v>0.1722174992858784</v>
      </c>
      <c r="H8" s="63">
        <f>'Income Statement'!H18/'Income Statement'!H7</f>
        <v>0.18221091211878104</v>
      </c>
      <c r="I8" s="63">
        <f>'Income Statement'!I18/'Income Statement'!I7</f>
        <v>0.18046890784886035</v>
      </c>
    </row>
    <row r="9" spans="2:9" ht="25" customHeight="1" x14ac:dyDescent="0.35">
      <c r="B9" s="133" t="s">
        <v>264</v>
      </c>
      <c r="D9" s="136">
        <f>'Income Statement'!D7/'Financial Position'!D27</f>
        <v>0.95324363728311312</v>
      </c>
      <c r="E9" s="136">
        <f>'Income Statement'!E7/'Financial Position'!E27</f>
        <v>1.0657548722032542</v>
      </c>
      <c r="F9" s="136">
        <f>'Income Statement'!F7/'Financial Position'!F27</f>
        <v>1.0483613353318162</v>
      </c>
      <c r="G9" s="136">
        <f>'Income Statement'!G7/'Financial Position'!G27</f>
        <v>1.1147010025634512</v>
      </c>
      <c r="H9" s="136">
        <f>'Income Statement'!H7/'Financial Position'!H27</f>
        <v>0.98928715550816715</v>
      </c>
      <c r="I9" s="136">
        <f>'Income Statement'!I7/'Financial Position'!I27</f>
        <v>0.95996508233540856</v>
      </c>
    </row>
    <row r="10" spans="2:9" ht="25" customHeight="1" x14ac:dyDescent="0.35">
      <c r="B10" s="133" t="s">
        <v>265</v>
      </c>
      <c r="D10" s="83">
        <f>'Financial Position'!D27/'Financial Position'!D53</f>
        <v>12.613694326482586</v>
      </c>
      <c r="E10" s="83">
        <f>'Financial Position'!E27/'Financial Position'!E53</f>
        <v>-61.537420116909473</v>
      </c>
      <c r="F10" s="83">
        <f>'Financial Position'!F27/'Financial Position'!F53</f>
        <v>169.64646251319957</v>
      </c>
      <c r="G10" s="83">
        <f>'Financial Position'!G27/'Financial Position'!G53</f>
        <v>13.820755261941772</v>
      </c>
      <c r="H10" s="136">
        <f>'Financial Position'!H27/'Financial Position'!H53</f>
        <v>5.4555424831980934</v>
      </c>
      <c r="I10" s="136">
        <f>'Financial Position'!I27/'Financial Position'!I53</f>
        <v>5.1915751761124485</v>
      </c>
    </row>
    <row r="11" spans="2:9" ht="25" customHeight="1" x14ac:dyDescent="0.35">
      <c r="B11" s="134"/>
      <c r="D11" s="59"/>
      <c r="E11" s="59"/>
      <c r="F11" s="59"/>
      <c r="G11" s="59"/>
      <c r="H11" s="59"/>
      <c r="I11" s="59"/>
    </row>
    <row r="12" spans="2:9" ht="25" customHeight="1" x14ac:dyDescent="0.35">
      <c r="B12" s="135" t="s">
        <v>266</v>
      </c>
      <c r="D12" s="137">
        <f t="shared" ref="D12:I12" si="0">D8*D9*D10</f>
        <v>1.6853554086258486</v>
      </c>
      <c r="E12" s="137">
        <f t="shared" si="0"/>
        <v>-10.042841566465759</v>
      </c>
      <c r="F12" s="137">
        <f t="shared" si="0"/>
        <v>28.224674410418864</v>
      </c>
      <c r="G12" s="137">
        <f t="shared" si="0"/>
        <v>2.6531844725454774</v>
      </c>
      <c r="H12" s="64">
        <f t="shared" si="0"/>
        <v>0.9834101684987604</v>
      </c>
      <c r="I12" s="64">
        <f t="shared" si="0"/>
        <v>0.89940847098128418</v>
      </c>
    </row>
    <row r="13" spans="2:9" ht="25" customHeight="1" x14ac:dyDescent="0.35">
      <c r="B13" s="133" t="s">
        <v>267</v>
      </c>
      <c r="D13" s="63">
        <f>'Income Statement'!D18/'Financial Position'!D53</f>
        <v>1.6853554086258489</v>
      </c>
      <c r="E13" s="63">
        <f>'Income Statement'!E18/'Financial Position'!E53</f>
        <v>-10.042841566465761</v>
      </c>
      <c r="F13" s="63">
        <f>'Income Statement'!F18/'Financial Position'!F53</f>
        <v>28.224674410418867</v>
      </c>
      <c r="G13" s="63">
        <f>'Income Statement'!G18/'Financial Position'!G53</f>
        <v>2.6531844725454774</v>
      </c>
      <c r="H13" s="63">
        <f>'Income Statement'!H18/'Financial Position'!H53</f>
        <v>0.9834101684987604</v>
      </c>
      <c r="I13" s="63">
        <f>'Income Statement'!I18/'Financial Position'!I53</f>
        <v>0.89940847098128429</v>
      </c>
    </row>
    <row r="14" spans="2:9" x14ac:dyDescent="0.35">
      <c r="B14" s="98"/>
    </row>
  </sheetData>
  <mergeCells count="3">
    <mergeCell ref="B2:H2"/>
    <mergeCell ref="B4:I4"/>
    <mergeCell ref="B5:I5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97BE-83B4-40B0-84EB-C09DBADAFA86}">
  <sheetPr>
    <tabColor theme="4" tint="-0.249977111117893"/>
  </sheetPr>
  <dimension ref="B2:H32"/>
  <sheetViews>
    <sheetView showGridLines="0" workbookViewId="0">
      <selection activeCell="B2" sqref="B2:H4"/>
    </sheetView>
  </sheetViews>
  <sheetFormatPr defaultColWidth="8.6328125" defaultRowHeight="14.5" x14ac:dyDescent="0.35"/>
  <cols>
    <col min="1" max="1" width="3.1796875" customWidth="1"/>
    <col min="2" max="2" width="52" customWidth="1"/>
    <col min="3" max="3" width="2" customWidth="1"/>
    <col min="4" max="12" width="13" customWidth="1"/>
  </cols>
  <sheetData>
    <row r="2" spans="2:8" ht="16.5" x14ac:dyDescent="0.35">
      <c r="B2" s="139" t="s">
        <v>49</v>
      </c>
      <c r="C2" s="139"/>
      <c r="D2" s="139"/>
      <c r="E2" s="139"/>
      <c r="F2" s="139"/>
      <c r="G2" s="139"/>
      <c r="H2" s="139"/>
    </row>
    <row r="3" spans="2:8" ht="18" x14ac:dyDescent="0.4">
      <c r="B3" s="57" t="s">
        <v>247</v>
      </c>
    </row>
    <row r="4" spans="2:8" ht="65.5" customHeight="1" x14ac:dyDescent="0.35">
      <c r="B4" s="140" t="s">
        <v>255</v>
      </c>
      <c r="C4" s="140"/>
      <c r="D4" s="140"/>
      <c r="E4" s="140"/>
    </row>
    <row r="6" spans="2:8" x14ac:dyDescent="0.35">
      <c r="B6" s="142" t="s">
        <v>248</v>
      </c>
      <c r="C6" s="143"/>
      <c r="D6" s="143"/>
      <c r="E6" s="143"/>
    </row>
    <row r="8" spans="2:8" x14ac:dyDescent="0.35">
      <c r="B8" s="55" t="s">
        <v>249</v>
      </c>
      <c r="D8" s="71" t="s">
        <v>45</v>
      </c>
      <c r="E8" s="71" t="s">
        <v>44</v>
      </c>
    </row>
    <row r="9" spans="2:8" x14ac:dyDescent="0.35">
      <c r="B9" s="129" t="s">
        <v>251</v>
      </c>
      <c r="D9" s="92">
        <f>'Financial Position'!H23</f>
        <v>727782</v>
      </c>
    </row>
    <row r="10" spans="2:8" x14ac:dyDescent="0.35">
      <c r="B10" s="129" t="s">
        <v>252</v>
      </c>
      <c r="E10" s="92">
        <f>'Financial Position'!I23</f>
        <v>801709</v>
      </c>
    </row>
    <row r="11" spans="2:8" x14ac:dyDescent="0.35">
      <c r="B11" s="130" t="s">
        <v>253</v>
      </c>
      <c r="E11" s="86">
        <f>E10-D9</f>
        <v>73927</v>
      </c>
    </row>
    <row r="13" spans="2:8" x14ac:dyDescent="0.35">
      <c r="B13" s="129" t="s">
        <v>254</v>
      </c>
      <c r="E13" s="92">
        <f>'Cash Flow'!I29</f>
        <v>-181831</v>
      </c>
    </row>
    <row r="15" spans="2:8" x14ac:dyDescent="0.35">
      <c r="B15" s="142" t="s">
        <v>250</v>
      </c>
      <c r="C15" s="143"/>
      <c r="D15" s="143"/>
      <c r="E15" s="143"/>
    </row>
    <row r="17" spans="2:5" ht="54.5" customHeight="1" x14ac:dyDescent="0.35">
      <c r="B17" s="141" t="s">
        <v>256</v>
      </c>
      <c r="C17" s="141"/>
      <c r="D17" s="141"/>
      <c r="E17" s="141"/>
    </row>
    <row r="18" spans="2:5" x14ac:dyDescent="0.35">
      <c r="B18" s="129"/>
    </row>
    <row r="19" spans="2:5" ht="39.5" customHeight="1" x14ac:dyDescent="0.35">
      <c r="B19" s="141" t="s">
        <v>257</v>
      </c>
      <c r="C19" s="141"/>
      <c r="D19" s="141"/>
      <c r="E19" s="141"/>
    </row>
    <row r="20" spans="2:5" x14ac:dyDescent="0.35">
      <c r="B20" s="129"/>
    </row>
    <row r="21" spans="2:5" ht="59" customHeight="1" x14ac:dyDescent="0.35">
      <c r="B21" s="141" t="s">
        <v>258</v>
      </c>
      <c r="C21" s="141"/>
      <c r="D21" s="141"/>
      <c r="E21" s="141"/>
    </row>
    <row r="22" spans="2:5" x14ac:dyDescent="0.35">
      <c r="B22" s="129"/>
    </row>
    <row r="23" spans="2:5" ht="56.5" customHeight="1" x14ac:dyDescent="0.35">
      <c r="B23" s="141" t="s">
        <v>259</v>
      </c>
      <c r="C23" s="141"/>
      <c r="D23" s="141"/>
      <c r="E23" s="141"/>
    </row>
    <row r="24" spans="2:5" x14ac:dyDescent="0.35">
      <c r="B24" s="129"/>
    </row>
    <row r="25" spans="2:5" x14ac:dyDescent="0.35">
      <c r="B25" s="129"/>
    </row>
    <row r="26" spans="2:5" x14ac:dyDescent="0.35">
      <c r="B26" s="129"/>
    </row>
    <row r="27" spans="2:5" x14ac:dyDescent="0.35">
      <c r="B27" s="131"/>
    </row>
    <row r="28" spans="2:5" x14ac:dyDescent="0.35">
      <c r="B28" s="131"/>
    </row>
    <row r="29" spans="2:5" x14ac:dyDescent="0.35">
      <c r="B29" s="129"/>
    </row>
    <row r="30" spans="2:5" x14ac:dyDescent="0.35">
      <c r="B30" s="129"/>
    </row>
    <row r="31" spans="2:5" x14ac:dyDescent="0.35">
      <c r="B31" s="129"/>
    </row>
    <row r="32" spans="2:5" x14ac:dyDescent="0.35">
      <c r="B32" s="129"/>
    </row>
  </sheetData>
  <mergeCells count="8">
    <mergeCell ref="B21:E21"/>
    <mergeCell ref="B23:E23"/>
    <mergeCell ref="B2:H2"/>
    <mergeCell ref="B15:E15"/>
    <mergeCell ref="B6:E6"/>
    <mergeCell ref="B4:E4"/>
    <mergeCell ref="B17:E17"/>
    <mergeCell ref="B19:E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1E9F-A36A-42F0-9669-0EF04BEFF83E}">
  <sheetPr>
    <tabColor theme="4" tint="-0.249977111117893"/>
  </sheetPr>
  <dimension ref="B2:I21"/>
  <sheetViews>
    <sheetView showGridLines="0" workbookViewId="0">
      <pane xSplit="3" ySplit="6" topLeftCell="D7" activePane="bottomRight" state="frozen"/>
      <selection activeCell="B11" sqref="B11"/>
      <selection pane="topRight" activeCell="B11" sqref="B11"/>
      <selection pane="bottomLeft" activeCell="B11" sqref="B11"/>
      <selection pane="bottomRight" activeCell="D14" sqref="D14"/>
    </sheetView>
  </sheetViews>
  <sheetFormatPr defaultColWidth="8.6328125" defaultRowHeight="14.5" x14ac:dyDescent="0.35"/>
  <cols>
    <col min="1" max="1" width="3.1796875" customWidth="1"/>
    <col min="2" max="2" width="46" customWidth="1"/>
    <col min="3" max="3" width="2" customWidth="1"/>
    <col min="4" max="12" width="13" customWidth="1"/>
  </cols>
  <sheetData>
    <row r="2" spans="2:9" ht="16.5" x14ac:dyDescent="0.35">
      <c r="B2" s="139" t="s">
        <v>49</v>
      </c>
      <c r="C2" s="139"/>
      <c r="D2" s="139"/>
      <c r="E2" s="139"/>
      <c r="F2" s="139"/>
      <c r="G2" s="139"/>
      <c r="H2" s="139"/>
    </row>
    <row r="3" spans="2:9" ht="18" x14ac:dyDescent="0.4">
      <c r="B3" s="57" t="s">
        <v>200</v>
      </c>
    </row>
    <row r="4" spans="2:9" x14ac:dyDescent="0.35">
      <c r="B4" s="58" t="s">
        <v>201</v>
      </c>
      <c r="C4" s="58"/>
      <c r="D4" s="58"/>
    </row>
    <row r="6" spans="2:9" ht="30" customHeight="1" x14ac:dyDescent="0.35">
      <c r="B6" s="55" t="s">
        <v>140</v>
      </c>
      <c r="D6" s="71" t="s">
        <v>48</v>
      </c>
      <c r="E6" s="71" t="s">
        <v>47</v>
      </c>
      <c r="F6" s="71" t="s">
        <v>43</v>
      </c>
      <c r="G6" s="71" t="s">
        <v>42</v>
      </c>
      <c r="H6" s="71" t="s">
        <v>45</v>
      </c>
      <c r="I6" s="71" t="s">
        <v>44</v>
      </c>
    </row>
    <row r="7" spans="2:9" ht="30" customHeight="1" x14ac:dyDescent="0.35">
      <c r="B7" s="95" t="s">
        <v>202</v>
      </c>
      <c r="D7" s="99">
        <f>'Cash Flow'!D26</f>
        <v>888622</v>
      </c>
      <c r="E7" s="99">
        <f>'Cash Flow'!E26</f>
        <v>1065883</v>
      </c>
      <c r="F7" s="99">
        <f>'Cash Flow'!F26</f>
        <v>869043</v>
      </c>
      <c r="G7" s="99">
        <f>'Cash Flow'!G26</f>
        <v>1530954</v>
      </c>
      <c r="H7" s="99">
        <f>'Cash Flow'!H26</f>
        <v>1644139</v>
      </c>
      <c r="I7" s="99">
        <f>'Cash Flow'!I26</f>
        <v>1761156</v>
      </c>
    </row>
    <row r="8" spans="2:9" ht="30" customHeight="1" x14ac:dyDescent="0.35">
      <c r="B8" s="96" t="s">
        <v>63</v>
      </c>
      <c r="D8" s="92">
        <f>Table123[[#This Row],[FY2021]]</f>
        <v>564348</v>
      </c>
      <c r="E8" s="92">
        <f>Table123[[#This Row],[FY2022]]</f>
        <v>663169</v>
      </c>
      <c r="F8" s="92">
        <f>Table123[[#This Row],[FY2023]]</f>
        <v>801863</v>
      </c>
      <c r="G8" s="92">
        <f>Table123[[#This Row],[FY2024]]</f>
        <v>1010460</v>
      </c>
      <c r="H8" s="92">
        <f>Table123[[#This Row],[FY2025]]</f>
        <v>1168545</v>
      </c>
      <c r="I8" s="92">
        <f>Table123[[#This Row],[FY2026]]</f>
        <v>1309438</v>
      </c>
    </row>
    <row r="9" spans="2:9" ht="30" customHeight="1" x14ac:dyDescent="0.35">
      <c r="B9" s="96" t="s">
        <v>203</v>
      </c>
      <c r="D9" s="97">
        <f t="shared" ref="D9:I9" si="0">D7/D8</f>
        <v>1.5745993606781632</v>
      </c>
      <c r="E9" s="97">
        <f t="shared" si="0"/>
        <v>1.607256973712583</v>
      </c>
      <c r="F9" s="97">
        <f t="shared" si="0"/>
        <v>1.0837798975635489</v>
      </c>
      <c r="G9" s="97">
        <f t="shared" si="0"/>
        <v>1.515105991330681</v>
      </c>
      <c r="H9" s="97">
        <f t="shared" si="0"/>
        <v>1.4069967352562374</v>
      </c>
      <c r="I9" s="97">
        <f t="shared" si="0"/>
        <v>1.3449708959110702</v>
      </c>
    </row>
    <row r="10" spans="2:9" ht="30" customHeight="1" x14ac:dyDescent="0.35">
      <c r="B10" s="98"/>
    </row>
    <row r="11" spans="2:9" ht="30" customHeight="1" x14ac:dyDescent="0.35">
      <c r="B11" s="96" t="s">
        <v>244</v>
      </c>
      <c r="D11" s="92">
        <f>'Cash Flow'!D32</f>
        <v>-140040</v>
      </c>
      <c r="E11" s="92">
        <f>'Cash Flow'!E32</f>
        <v>-136772</v>
      </c>
      <c r="F11" s="92">
        <f>'Cash Flow'!F32</f>
        <v>-134049</v>
      </c>
      <c r="G11" s="92">
        <f>'Cash Flow'!G32</f>
        <v>-252673</v>
      </c>
      <c r="H11" s="92">
        <f>'Cash Flow'!H32</f>
        <v>-212828</v>
      </c>
      <c r="I11" s="92">
        <f>'Cash Flow'!I32</f>
        <v>-248747</v>
      </c>
    </row>
    <row r="12" spans="2:9" ht="30" customHeight="1" x14ac:dyDescent="0.35">
      <c r="B12" s="96" t="s">
        <v>245</v>
      </c>
      <c r="D12" s="92">
        <f>'Cash Flow'!D33</f>
        <v>-27797</v>
      </c>
      <c r="E12" s="92">
        <f>'Cash Flow'!E33</f>
        <v>-22740</v>
      </c>
      <c r="F12" s="92">
        <f>'Cash Flow'!F33</f>
        <v>-22778</v>
      </c>
      <c r="G12" s="92">
        <f>'Cash Flow'!G33</f>
        <v>-26091</v>
      </c>
      <c r="H12" s="92">
        <f>'Cash Flow'!H33</f>
        <v>-30622</v>
      </c>
      <c r="I12" s="92">
        <f>'Cash Flow'!I33</f>
        <v>-24034</v>
      </c>
    </row>
    <row r="13" spans="2:9" ht="30" customHeight="1" x14ac:dyDescent="0.35">
      <c r="B13" s="95" t="s">
        <v>204</v>
      </c>
      <c r="D13" s="86">
        <f t="shared" ref="D13:I13" si="1">D11+D12</f>
        <v>-167837</v>
      </c>
      <c r="E13" s="86">
        <f t="shared" si="1"/>
        <v>-159512</v>
      </c>
      <c r="F13" s="86">
        <f t="shared" si="1"/>
        <v>-156827</v>
      </c>
      <c r="G13" s="86">
        <f t="shared" si="1"/>
        <v>-278764</v>
      </c>
      <c r="H13" s="86">
        <f t="shared" si="1"/>
        <v>-243450</v>
      </c>
      <c r="I13" s="86">
        <f t="shared" si="1"/>
        <v>-272781</v>
      </c>
    </row>
    <row r="14" spans="2:9" ht="30" customHeight="1" x14ac:dyDescent="0.35">
      <c r="B14" s="95" t="s">
        <v>246</v>
      </c>
      <c r="D14" s="86">
        <f t="shared" ref="D14:I14" si="2">D7+D13</f>
        <v>720785</v>
      </c>
      <c r="E14" s="86">
        <f t="shared" si="2"/>
        <v>906371</v>
      </c>
      <c r="F14" s="86">
        <f t="shared" si="2"/>
        <v>712216</v>
      </c>
      <c r="G14" s="86">
        <f t="shared" si="2"/>
        <v>1252190</v>
      </c>
      <c r="H14" s="86">
        <f t="shared" si="2"/>
        <v>1400689</v>
      </c>
      <c r="I14" s="86">
        <f t="shared" si="2"/>
        <v>1488375</v>
      </c>
    </row>
    <row r="15" spans="2:9" ht="30" customHeight="1" x14ac:dyDescent="0.35">
      <c r="B15" s="96" t="s">
        <v>205</v>
      </c>
      <c r="D15" s="85">
        <f>D14/'Income Statement'!D7</f>
        <v>0.17902102174748322</v>
      </c>
      <c r="E15" s="85">
        <f>E14/'Income Statement'!E7</f>
        <v>0.20928677431056575</v>
      </c>
      <c r="F15" s="85">
        <f>F14/'Income Statement'!F7</f>
        <v>0.14095636408040704</v>
      </c>
      <c r="G15" s="85">
        <f>G14/'Income Statement'!G7</f>
        <v>0.21341669183419834</v>
      </c>
      <c r="H15" s="85">
        <f>H14/'Income Statement'!H7</f>
        <v>0.2184090645073517</v>
      </c>
      <c r="I15" s="85">
        <f>I14/'Income Statement'!I7</f>
        <v>0.20513030072408739</v>
      </c>
    </row>
    <row r="16" spans="2:9" ht="30" customHeight="1" x14ac:dyDescent="0.35">
      <c r="B16" s="96" t="s">
        <v>206</v>
      </c>
      <c r="D16" s="85">
        <f>-D13/'Income Statement'!D7</f>
        <v>4.1685594493548479E-2</v>
      </c>
      <c r="E16" s="85">
        <f>-E13/'Income Statement'!E7</f>
        <v>3.6832325773691971E-2</v>
      </c>
      <c r="F16" s="85">
        <f>-F13/'Income Statement'!F7</f>
        <v>3.1038004916539359E-2</v>
      </c>
      <c r="G16" s="85">
        <f>-G13/'Income Statement'!G7</f>
        <v>4.7511073145823292E-2</v>
      </c>
      <c r="H16" s="85">
        <f>-H13/'Income Statement'!H7</f>
        <v>3.7961093971834413E-2</v>
      </c>
      <c r="I16" s="85">
        <f>-I13/'Income Statement'!I7</f>
        <v>3.759512794948671E-2</v>
      </c>
    </row>
    <row r="17" spans="2:9" ht="30" customHeight="1" x14ac:dyDescent="0.35">
      <c r="B17" s="98"/>
    </row>
    <row r="18" spans="2:9" ht="30" customHeight="1" x14ac:dyDescent="0.35">
      <c r="B18" s="96" t="s">
        <v>207</v>
      </c>
      <c r="D18" s="92">
        <f>'Cash Flow'!D51</f>
        <v>-163804</v>
      </c>
      <c r="E18" s="92">
        <f>'Cash Flow'!E51</f>
        <v>-183285</v>
      </c>
      <c r="F18" s="92">
        <f>'Cash Flow'!F51</f>
        <v>-253566</v>
      </c>
      <c r="G18" s="92">
        <f>'Cash Flow'!G51</f>
        <v>-284836</v>
      </c>
      <c r="H18" s="92">
        <f>'Cash Flow'!H51</f>
        <v>-317829</v>
      </c>
      <c r="I18" s="92">
        <f>'Cash Flow'!I51</f>
        <v>-390333</v>
      </c>
    </row>
    <row r="19" spans="2:9" ht="30" customHeight="1" x14ac:dyDescent="0.35">
      <c r="B19" s="96" t="s">
        <v>208</v>
      </c>
      <c r="D19" s="92">
        <f>'Cash Flow'!D54+'Cash Flow'!D55</f>
        <v>-87042</v>
      </c>
      <c r="E19" s="92">
        <f>'Cash Flow'!E54+'Cash Flow'!E55</f>
        <v>-1059918</v>
      </c>
      <c r="F19" s="92">
        <f>'Cash Flow'!F54+'Cash Flow'!F55</f>
        <v>-688996</v>
      </c>
      <c r="G19" s="92">
        <f>'Cash Flow'!G54+'Cash Flow'!G55</f>
        <v>-655869</v>
      </c>
      <c r="H19" s="92">
        <f>'Cash Flow'!H54+'Cash Flow'!H55</f>
        <v>-1090712</v>
      </c>
      <c r="I19" s="92">
        <f>'Cash Flow'!I54+'Cash Flow'!I55</f>
        <v>-864384</v>
      </c>
    </row>
    <row r="20" spans="2:9" ht="30" customHeight="1" x14ac:dyDescent="0.35">
      <c r="B20" s="96" t="s">
        <v>209</v>
      </c>
      <c r="D20" s="92">
        <f>'Cash Flow'!D53</f>
        <v>-54770</v>
      </c>
      <c r="E20" s="92">
        <f>'Cash Flow'!E53</f>
        <v>-60464</v>
      </c>
      <c r="F20" s="92">
        <f>'Cash Flow'!F53</f>
        <v>-62975</v>
      </c>
      <c r="G20" s="92">
        <f>'Cash Flow'!G53</f>
        <v>-76131</v>
      </c>
      <c r="H20" s="92">
        <f>'Cash Flow'!H53</f>
        <v>-97244</v>
      </c>
      <c r="I20" s="92">
        <f>'Cash Flow'!I53</f>
        <v>-113196</v>
      </c>
    </row>
    <row r="21" spans="2:9" ht="30" customHeight="1" x14ac:dyDescent="0.35">
      <c r="B21" s="95" t="s">
        <v>210</v>
      </c>
      <c r="D21" s="86">
        <f t="shared" ref="D21:I21" si="3">D14+D19+D20</f>
        <v>578973</v>
      </c>
      <c r="E21" s="86">
        <f t="shared" si="3"/>
        <v>-214011</v>
      </c>
      <c r="F21" s="86">
        <f t="shared" si="3"/>
        <v>-39755</v>
      </c>
      <c r="G21" s="86">
        <f t="shared" si="3"/>
        <v>520190</v>
      </c>
      <c r="H21" s="86">
        <f t="shared" si="3"/>
        <v>212733</v>
      </c>
      <c r="I21" s="86">
        <f t="shared" si="3"/>
        <v>510795</v>
      </c>
    </row>
  </sheetData>
  <mergeCells count="1">
    <mergeCell ref="B2:H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B26C-DD6D-465D-BEA9-5B42953926D0}">
  <sheetPr>
    <tabColor theme="4" tint="-0.249977111117893"/>
  </sheetPr>
  <dimension ref="B2:M79"/>
  <sheetViews>
    <sheetView showGridLines="0" tabSelected="1" topLeftCell="A35" workbookViewId="0">
      <selection activeCell="A68" sqref="A68"/>
    </sheetView>
  </sheetViews>
  <sheetFormatPr defaultColWidth="8.6328125" defaultRowHeight="14.5" x14ac:dyDescent="0.35"/>
  <cols>
    <col min="1" max="1" width="3.1796875" customWidth="1"/>
    <col min="2" max="2" width="55.54296875" customWidth="1"/>
    <col min="3" max="3" width="2" customWidth="1"/>
    <col min="4" max="4" width="16" customWidth="1"/>
    <col min="5" max="12" width="13" customWidth="1"/>
  </cols>
  <sheetData>
    <row r="2" spans="2:12" ht="16.5" x14ac:dyDescent="0.35">
      <c r="B2" s="139" t="s">
        <v>49</v>
      </c>
      <c r="C2" s="139"/>
      <c r="D2" s="139"/>
      <c r="E2" s="139"/>
      <c r="F2" s="139"/>
      <c r="G2" s="139"/>
      <c r="H2" s="139"/>
    </row>
    <row r="3" spans="2:12" ht="18" x14ac:dyDescent="0.4">
      <c r="B3" s="57" t="s">
        <v>163</v>
      </c>
      <c r="C3" s="57"/>
      <c r="D3" s="57"/>
    </row>
    <row r="4" spans="2:12" ht="30" customHeight="1" x14ac:dyDescent="0.35">
      <c r="B4" s="144" t="s">
        <v>231</v>
      </c>
      <c r="C4" s="144"/>
      <c r="D4" s="144"/>
      <c r="E4" s="144"/>
      <c r="F4" s="144"/>
      <c r="G4" s="144"/>
      <c r="H4" s="144"/>
      <c r="I4" s="144"/>
      <c r="J4" s="144"/>
    </row>
    <row r="5" spans="2:12" x14ac:dyDescent="0.35">
      <c r="B5" s="58" t="s">
        <v>140</v>
      </c>
      <c r="D5" s="71" t="s">
        <v>48</v>
      </c>
      <c r="E5" s="71" t="s">
        <v>47</v>
      </c>
      <c r="F5" s="71" t="s">
        <v>43</v>
      </c>
      <c r="G5" s="71" t="s">
        <v>42</v>
      </c>
      <c r="H5" s="71" t="s">
        <v>45</v>
      </c>
      <c r="I5" s="71" t="s">
        <v>44</v>
      </c>
      <c r="J5" s="71" t="s">
        <v>164</v>
      </c>
      <c r="K5" s="71" t="s">
        <v>165</v>
      </c>
      <c r="L5" s="71" t="s">
        <v>166</v>
      </c>
    </row>
    <row r="6" spans="2:12" x14ac:dyDescent="0.35">
      <c r="B6" s="123" t="s">
        <v>167</v>
      </c>
    </row>
    <row r="7" spans="2:12" x14ac:dyDescent="0.35">
      <c r="B7" s="124" t="s">
        <v>172</v>
      </c>
      <c r="D7" s="85">
        <f>('Income Statement'!I7/'Income Statement'!D7)^(1/5)-1</f>
        <v>0.12500944418692672</v>
      </c>
      <c r="E7" s="5"/>
      <c r="F7" s="2"/>
    </row>
    <row r="8" spans="2:12" x14ac:dyDescent="0.35">
      <c r="B8" s="124" t="s">
        <v>173</v>
      </c>
      <c r="D8" s="85">
        <f>('Income Statement'!I7/'Income Statement'!F7)^(1/3)-1</f>
        <v>0.12819759843072576</v>
      </c>
    </row>
    <row r="9" spans="2:12" x14ac:dyDescent="0.35">
      <c r="B9" s="124" t="s">
        <v>174</v>
      </c>
      <c r="D9" s="85">
        <f>AVERAGE(Ratio!D14:I14)</f>
        <v>0.24429342567319709</v>
      </c>
    </row>
    <row r="10" spans="2:12" x14ac:dyDescent="0.35">
      <c r="B10" s="124" t="s">
        <v>175</v>
      </c>
      <c r="D10" s="5">
        <f>AVERAGE(('Income Statement'!G17/'Income Statement'!G16), ('Income Statement'!H17/'Income Statement'!H16), ('Income Statement'!I17/'Income Statement'!I16))</f>
        <v>0.25145075349574086</v>
      </c>
      <c r="E10" s="85"/>
    </row>
    <row r="11" spans="2:12" x14ac:dyDescent="0.35">
      <c r="B11" s="124" t="s">
        <v>176</v>
      </c>
      <c r="D11" s="93">
        <f>AVERAGE(Table12[[#This Row],[FY2024]]/'Income Statement'!G7, Table12[[#This Row],[FY2025]]/'Income Statement'!H7, Table12[[#This Row],[FY2026]]/'Income Statement'!I7)</f>
        <v>5.9386323543533459E-2</v>
      </c>
      <c r="E11" s="94"/>
      <c r="G11" s="93"/>
      <c r="H11" s="93"/>
    </row>
    <row r="12" spans="2:12" x14ac:dyDescent="0.35">
      <c r="B12" s="124" t="s">
        <v>177</v>
      </c>
      <c r="D12" s="5">
        <f>AVERAGE('CF Quality'!G16:I16)</f>
        <v>4.1022431689048143E-2</v>
      </c>
      <c r="E12" s="85"/>
    </row>
    <row r="13" spans="2:12" x14ac:dyDescent="0.35">
      <c r="B13" s="125"/>
    </row>
    <row r="14" spans="2:12" x14ac:dyDescent="0.35">
      <c r="B14" s="123" t="s">
        <v>168</v>
      </c>
    </row>
    <row r="15" spans="2:12" x14ac:dyDescent="0.35">
      <c r="B15" s="124" t="s">
        <v>178</v>
      </c>
      <c r="D15" s="112">
        <v>0.08</v>
      </c>
    </row>
    <row r="16" spans="2:12" x14ac:dyDescent="0.35">
      <c r="B16" s="124" t="s">
        <v>148</v>
      </c>
      <c r="D16" s="112">
        <v>0.26500000000000001</v>
      </c>
      <c r="E16" s="5"/>
    </row>
    <row r="17" spans="2:13" x14ac:dyDescent="0.35">
      <c r="B17" s="124" t="s">
        <v>179</v>
      </c>
      <c r="D17" s="112">
        <v>0.25</v>
      </c>
      <c r="E17" s="5"/>
      <c r="F17" s="5"/>
      <c r="G17" s="5"/>
      <c r="H17" s="5"/>
      <c r="I17" s="5"/>
      <c r="J17" s="5"/>
      <c r="K17" s="5"/>
      <c r="L17" s="5"/>
      <c r="M17" s="5"/>
    </row>
    <row r="18" spans="2:13" x14ac:dyDescent="0.35">
      <c r="B18" s="124" t="s">
        <v>180</v>
      </c>
      <c r="D18" s="112">
        <v>0.06</v>
      </c>
      <c r="E18" s="149"/>
    </row>
    <row r="19" spans="2:13" x14ac:dyDescent="0.35">
      <c r="B19" s="124" t="s">
        <v>181</v>
      </c>
      <c r="D19" s="112">
        <v>0.04</v>
      </c>
    </row>
    <row r="20" spans="2:13" x14ac:dyDescent="0.35">
      <c r="B20" s="124" t="s">
        <v>182</v>
      </c>
      <c r="D20" s="112">
        <v>0</v>
      </c>
    </row>
    <row r="21" spans="2:13" x14ac:dyDescent="0.35">
      <c r="B21" s="124" t="s">
        <v>183</v>
      </c>
      <c r="D21" s="112">
        <v>2.5000000000000001E-2</v>
      </c>
    </row>
    <row r="22" spans="2:13" x14ac:dyDescent="0.35">
      <c r="B22" s="125"/>
    </row>
    <row r="23" spans="2:13" x14ac:dyDescent="0.35">
      <c r="B23" s="123" t="s">
        <v>215</v>
      </c>
    </row>
    <row r="24" spans="2:13" x14ac:dyDescent="0.35">
      <c r="B24" s="124" t="s">
        <v>211</v>
      </c>
      <c r="D24" s="148">
        <v>3.85E-2</v>
      </c>
    </row>
    <row r="25" spans="2:13" x14ac:dyDescent="0.35">
      <c r="B25" s="124" t="s">
        <v>212</v>
      </c>
      <c r="D25" s="114">
        <v>0.5</v>
      </c>
    </row>
    <row r="26" spans="2:13" x14ac:dyDescent="0.35">
      <c r="B26" s="124" t="s">
        <v>213</v>
      </c>
      <c r="D26" s="112">
        <v>5.5E-2</v>
      </c>
    </row>
    <row r="27" spans="2:13" x14ac:dyDescent="0.35">
      <c r="B27" s="126" t="s">
        <v>214</v>
      </c>
      <c r="D27" s="100">
        <f>D24+D25*D26</f>
        <v>6.6000000000000003E-2</v>
      </c>
    </row>
    <row r="28" spans="2:13" x14ac:dyDescent="0.35">
      <c r="B28" s="126"/>
      <c r="D28" s="100"/>
    </row>
    <row r="29" spans="2:13" x14ac:dyDescent="0.35">
      <c r="B29" s="123" t="s">
        <v>216</v>
      </c>
    </row>
    <row r="30" spans="2:13" x14ac:dyDescent="0.35">
      <c r="B30" s="124" t="s">
        <v>217</v>
      </c>
      <c r="D30" s="148">
        <v>2.6700000000000002E-2</v>
      </c>
    </row>
    <row r="31" spans="2:13" x14ac:dyDescent="0.35">
      <c r="B31" s="124" t="s">
        <v>218</v>
      </c>
      <c r="D31" s="101">
        <v>0.02</v>
      </c>
    </row>
    <row r="32" spans="2:13" ht="25" x14ac:dyDescent="0.35">
      <c r="B32" s="124" t="s">
        <v>219</v>
      </c>
      <c r="D32" s="101">
        <f>'Cash Flow'!I64/('Financial Position'!I43+'Financial Position'!I37)</f>
        <v>3.5765372916465886E-2</v>
      </c>
      <c r="E32" s="101"/>
    </row>
    <row r="33" spans="2:12" x14ac:dyDescent="0.35">
      <c r="B33" s="124" t="s">
        <v>220</v>
      </c>
      <c r="C33" s="102"/>
      <c r="D33" s="101">
        <v>2.7E-2</v>
      </c>
    </row>
    <row r="34" spans="2:12" x14ac:dyDescent="0.35">
      <c r="B34" s="126"/>
      <c r="D34" s="100"/>
    </row>
    <row r="35" spans="2:12" x14ac:dyDescent="0.35">
      <c r="B35" s="123" t="s">
        <v>216</v>
      </c>
    </row>
    <row r="36" spans="2:12" x14ac:dyDescent="0.35">
      <c r="B36" s="124" t="s">
        <v>221</v>
      </c>
      <c r="D36" s="113">
        <v>172.46</v>
      </c>
    </row>
    <row r="37" spans="2:12" x14ac:dyDescent="0.35">
      <c r="B37" s="124" t="s">
        <v>222</v>
      </c>
      <c r="D37" s="103">
        <f>D36*Table12[[#This Row],[FY2026]]</f>
        <v>47716922.640000001</v>
      </c>
    </row>
    <row r="38" spans="2:12" x14ac:dyDescent="0.35">
      <c r="B38" s="124" t="s">
        <v>223</v>
      </c>
      <c r="D38" s="103">
        <f>'Financial Position'!I42+'Financial Position'!I36</f>
        <v>2625121</v>
      </c>
      <c r="E38" s="101"/>
    </row>
    <row r="39" spans="2:12" x14ac:dyDescent="0.35">
      <c r="B39" s="124" t="s">
        <v>224</v>
      </c>
      <c r="C39" s="102"/>
      <c r="D39" s="103">
        <f>'Financial Position'!I37+'Financial Position'!I43</f>
        <v>2770473</v>
      </c>
    </row>
    <row r="40" spans="2:12" x14ac:dyDescent="0.35">
      <c r="B40" s="126" t="s">
        <v>225</v>
      </c>
      <c r="C40" s="104"/>
      <c r="D40" s="105">
        <f>SUM(D37:D39)</f>
        <v>53112516.640000001</v>
      </c>
    </row>
    <row r="41" spans="2:12" x14ac:dyDescent="0.35">
      <c r="B41" s="124" t="s">
        <v>226</v>
      </c>
      <c r="C41" s="104"/>
      <c r="D41" s="107">
        <f>D37/D40</f>
        <v>0.89841200640949326</v>
      </c>
    </row>
    <row r="42" spans="2:12" x14ac:dyDescent="0.35">
      <c r="B42" s="124" t="s">
        <v>227</v>
      </c>
      <c r="C42" s="104"/>
      <c r="D42" s="107">
        <f>D38/D40</f>
        <v>4.9425656437883304E-2</v>
      </c>
    </row>
    <row r="43" spans="2:12" x14ac:dyDescent="0.35">
      <c r="B43" s="124" t="s">
        <v>228</v>
      </c>
      <c r="C43" s="104"/>
      <c r="D43" s="107">
        <f>D39/D40</f>
        <v>5.2162337152623389E-2</v>
      </c>
    </row>
    <row r="44" spans="2:12" x14ac:dyDescent="0.35">
      <c r="B44" s="124"/>
      <c r="C44" s="104"/>
      <c r="D44" s="107"/>
    </row>
    <row r="45" spans="2:12" x14ac:dyDescent="0.35">
      <c r="B45" s="126" t="s">
        <v>229</v>
      </c>
      <c r="C45" s="104"/>
      <c r="D45" s="106">
        <f>(D41*D27)+(D42*D31)+(D43*D33)</f>
        <v>6.1692088654905053E-2</v>
      </c>
    </row>
    <row r="46" spans="2:12" x14ac:dyDescent="0.35">
      <c r="B46" s="124"/>
      <c r="C46" s="102"/>
      <c r="D46" s="101"/>
    </row>
    <row r="47" spans="2:12" x14ac:dyDescent="0.35">
      <c r="B47" s="123" t="s">
        <v>169</v>
      </c>
    </row>
    <row r="48" spans="2:12" x14ac:dyDescent="0.35">
      <c r="B48" s="126" t="s">
        <v>52</v>
      </c>
      <c r="D48" s="92">
        <f>'Income Statement'!D7</f>
        <v>4026259</v>
      </c>
      <c r="E48" s="92">
        <f>'Income Statement'!E7</f>
        <v>4330761</v>
      </c>
      <c r="F48" s="92">
        <f>'Income Statement'!F7</f>
        <v>5052741</v>
      </c>
      <c r="G48" s="92">
        <f>'Income Statement'!G7</f>
        <v>5867348</v>
      </c>
      <c r="H48" s="92">
        <f>'Income Statement'!H7</f>
        <v>6413145</v>
      </c>
      <c r="I48" s="92">
        <f>'Income Statement'!I7</f>
        <v>7255754</v>
      </c>
      <c r="J48" s="86">
        <f>I48*(1+$D$15)</f>
        <v>7836214.3200000003</v>
      </c>
      <c r="K48" s="86">
        <f>J48*(1+$D$15)</f>
        <v>8463111.4656000007</v>
      </c>
      <c r="L48" s="86">
        <f>K48*(1+$D$15)</f>
        <v>9140160.382848002</v>
      </c>
    </row>
    <row r="49" spans="2:12" x14ac:dyDescent="0.35">
      <c r="B49" s="124" t="s">
        <v>184</v>
      </c>
      <c r="J49" s="87">
        <f>J48*$D$16</f>
        <v>2076596.7948000003</v>
      </c>
      <c r="K49" s="87">
        <f>K48*$D$16</f>
        <v>2242724.5383840003</v>
      </c>
      <c r="L49" s="87">
        <f>L48*$D$16</f>
        <v>2422142.5014547207</v>
      </c>
    </row>
    <row r="50" spans="2:12" x14ac:dyDescent="0.35">
      <c r="B50" s="124" t="s">
        <v>185</v>
      </c>
      <c r="J50" s="87">
        <f>-J49*$D$17</f>
        <v>-519149.19870000007</v>
      </c>
      <c r="K50" s="87">
        <f>-K49*$D$17</f>
        <v>-560681.13459600008</v>
      </c>
      <c r="L50" s="87">
        <f>-L49*$D$17</f>
        <v>-605535.62536368018</v>
      </c>
    </row>
    <row r="51" spans="2:12" x14ac:dyDescent="0.35">
      <c r="B51" s="126" t="s">
        <v>186</v>
      </c>
      <c r="J51" s="86">
        <f>J49+J50</f>
        <v>1557447.5961000002</v>
      </c>
      <c r="K51" s="86">
        <f>K49+K50</f>
        <v>1682043.4037880003</v>
      </c>
      <c r="L51" s="86">
        <f>L49+L50</f>
        <v>1816606.8760910407</v>
      </c>
    </row>
    <row r="52" spans="2:12" x14ac:dyDescent="0.35">
      <c r="B52" s="124" t="s">
        <v>187</v>
      </c>
      <c r="J52" s="87">
        <f>J48*$D$18</f>
        <v>470172.85920000001</v>
      </c>
      <c r="K52" s="87">
        <f>K48*$D$18</f>
        <v>507786.687936</v>
      </c>
      <c r="L52" s="87">
        <f>L48*$D$18</f>
        <v>548409.62297088013</v>
      </c>
    </row>
    <row r="53" spans="2:12" x14ac:dyDescent="0.35">
      <c r="B53" s="124" t="s">
        <v>188</v>
      </c>
      <c r="J53" s="87">
        <f>-J48*$D$19</f>
        <v>-313448.57280000002</v>
      </c>
      <c r="K53" s="87">
        <f>-K48*$D$19</f>
        <v>-338524.45862400002</v>
      </c>
      <c r="L53" s="87">
        <f>-L48*$D$19</f>
        <v>-365606.41531392006</v>
      </c>
    </row>
    <row r="54" spans="2:12" x14ac:dyDescent="0.35">
      <c r="B54" s="124" t="s">
        <v>189</v>
      </c>
      <c r="J54" s="87">
        <f>-(J48-I48)*$D$20</f>
        <v>0</v>
      </c>
      <c r="K54" s="87">
        <f>-(K48-J48)*$D$20</f>
        <v>0</v>
      </c>
      <c r="L54" s="87">
        <f>-(L48-K48)*$D$20</f>
        <v>0</v>
      </c>
    </row>
    <row r="55" spans="2:12" x14ac:dyDescent="0.35">
      <c r="B55" s="126" t="s">
        <v>190</v>
      </c>
      <c r="J55" s="86">
        <f>J51+J52+J53+J54</f>
        <v>1714171.8825000003</v>
      </c>
      <c r="K55" s="86">
        <f>K51+K52+K53+K54</f>
        <v>1851305.6331000004</v>
      </c>
      <c r="L55" s="86">
        <f>L51+L52+L53+L54</f>
        <v>1999410.0837480007</v>
      </c>
    </row>
    <row r="56" spans="2:12" x14ac:dyDescent="0.35">
      <c r="B56" s="125"/>
    </row>
    <row r="57" spans="2:12" x14ac:dyDescent="0.35">
      <c r="B57" s="123" t="s">
        <v>170</v>
      </c>
    </row>
    <row r="58" spans="2:12" x14ac:dyDescent="0.35">
      <c r="B58" s="124" t="s">
        <v>191</v>
      </c>
      <c r="J58" s="88">
        <f>1/(1+WACC)^1</f>
        <v>0.94189267367239693</v>
      </c>
      <c r="K58" s="88">
        <f>1/(1+WACC)^2</f>
        <v>0.88716180871773631</v>
      </c>
      <c r="L58" s="88">
        <f>1/(1+WACC)^3</f>
        <v>0.83561120799318833</v>
      </c>
    </row>
    <row r="59" spans="2:12" x14ac:dyDescent="0.35">
      <c r="B59" s="124" t="s">
        <v>192</v>
      </c>
      <c r="J59" s="87">
        <f>J55*J58</f>
        <v>1614565.9375419712</v>
      </c>
      <c r="K59" s="87">
        <f>K55*K58</f>
        <v>1642407.6539503303</v>
      </c>
      <c r="L59" s="87">
        <f>L55*L58</f>
        <v>1670729.4753544286</v>
      </c>
    </row>
    <row r="60" spans="2:12" x14ac:dyDescent="0.35">
      <c r="B60" s="124" t="s">
        <v>230</v>
      </c>
      <c r="D60" s="87">
        <f>SUM(J59:L59)</f>
        <v>4927703.0668467302</v>
      </c>
    </row>
    <row r="61" spans="2:12" x14ac:dyDescent="0.35">
      <c r="B61" s="124" t="s">
        <v>193</v>
      </c>
      <c r="D61" s="87">
        <f>L55*(1+$D$21)/(WACC-$D$21)</f>
        <v>55853875.071451791</v>
      </c>
    </row>
    <row r="62" spans="2:12" x14ac:dyDescent="0.35">
      <c r="B62" s="124" t="s">
        <v>194</v>
      </c>
      <c r="D62" s="87">
        <f>D61*L58</f>
        <v>46672124.019556455</v>
      </c>
    </row>
    <row r="63" spans="2:12" x14ac:dyDescent="0.35">
      <c r="B63" s="126" t="s">
        <v>195</v>
      </c>
      <c r="D63" s="86">
        <f>D60+D62</f>
        <v>51599827.086403184</v>
      </c>
    </row>
    <row r="64" spans="2:12" x14ac:dyDescent="0.35">
      <c r="B64" s="124" t="s">
        <v>196</v>
      </c>
      <c r="D64" s="92">
        <f>-('Financial Position'!I32+'Financial Position'!I36+'Financial Position'!I42+'Financial Position'!I37+'Financial Position'!I43-'Financial Position'!I9)</f>
        <v>-5064025</v>
      </c>
    </row>
    <row r="65" spans="2:8" x14ac:dyDescent="0.35">
      <c r="B65" s="126" t="s">
        <v>197</v>
      </c>
      <c r="D65" s="86">
        <f>D63+D64</f>
        <v>46535802.086403184</v>
      </c>
      <c r="F65" s="68"/>
      <c r="G65" s="111"/>
    </row>
    <row r="66" spans="2:8" x14ac:dyDescent="0.35">
      <c r="B66" s="124" t="s">
        <v>198</v>
      </c>
      <c r="D66" s="110">
        <f>'Income Statement'!I37</f>
        <v>276684</v>
      </c>
    </row>
    <row r="67" spans="2:8" x14ac:dyDescent="0.35">
      <c r="B67" s="115" t="s">
        <v>199</v>
      </c>
      <c r="C67" s="116"/>
      <c r="D67" s="117">
        <f>D65/D66</f>
        <v>168.19115701089757</v>
      </c>
    </row>
    <row r="69" spans="2:8" x14ac:dyDescent="0.35">
      <c r="B69" s="84" t="s">
        <v>232</v>
      </c>
    </row>
    <row r="71" spans="2:8" x14ac:dyDescent="0.35">
      <c r="B71" s="55" t="s">
        <v>171</v>
      </c>
      <c r="D71" s="91">
        <f>$D$21+(-0.01)</f>
        <v>1.5000000000000001E-2</v>
      </c>
      <c r="E71" s="91">
        <f>$D$21+(-0.005)</f>
        <v>0.02</v>
      </c>
      <c r="F71" s="91">
        <f>$D$21+(0)</f>
        <v>2.5000000000000001E-2</v>
      </c>
      <c r="G71" s="91">
        <f>$D$21+(0.005)</f>
        <v>3.0000000000000002E-2</v>
      </c>
      <c r="H71" s="91">
        <f>$D$21+(0.01)</f>
        <v>3.5000000000000003E-2</v>
      </c>
    </row>
    <row r="72" spans="2:8" x14ac:dyDescent="0.35">
      <c r="B72" s="108">
        <f>WACC+(-0.01)</f>
        <v>5.1692088654905051E-2</v>
      </c>
      <c r="D72" s="89">
        <f>((J$55/(1+$B72)^1+K$55/(1+$B72)^2+L$55/(1+$B72)^3+(L$55*(1+D$71)/($B72-D$71))/(1+$B72)^3)+$D$64)/$D$66</f>
        <v>171.69855053801945</v>
      </c>
      <c r="E72" s="89">
        <f>((J$55/(1+$B72)^1+K$55/(1+$B72)^2+L$55/(1+$B72)^3+(L$55*(1+E$71)/($B72-E$71))/(1+$B72)^3)+$D$64)/$D$66</f>
        <v>199.79085241002943</v>
      </c>
      <c r="F72" s="89">
        <f>((J$55/(1+$B72)^1+K$55/(1+$B72)^2+L$55/(1+$B72)^3+(L$55*(1+F$71)/($B72-F$71))/(1+$B72)^3)+$D$64)/$D$66</f>
        <v>238.4077341435887</v>
      </c>
      <c r="G72" s="89">
        <f>((J$55/(1+$B72)^1+K$55/(1+$B72)^2+L$55/(1+$B72)^3+(L$55*(1+G$71)/($B72-G$71))/(1+$B72)^3)+$D$64)/$D$66</f>
        <v>294.82690423577822</v>
      </c>
      <c r="H72" s="89">
        <f>((J$55/(1+$B72)^1+K$55/(1+$B72)^2+L$55/(1+$B72)^3+(L$55*(1+H$71)/($B72-H$71))/(1+$B72)^3)+$D$64)/$D$66</f>
        <v>385.04602067297498</v>
      </c>
    </row>
    <row r="73" spans="2:8" x14ac:dyDescent="0.35">
      <c r="B73" s="109">
        <f>WACC+(-0.005)</f>
        <v>5.6692088654905055E-2</v>
      </c>
      <c r="D73" s="89">
        <f>((J$55/(1+$B73)^1+K$55/(1+$B73)^2+L$55/(1+$B73)^3+(L$55*(1+D$71)/($B73-D$71))/(1+$B73)^3)+$D$64)/$D$66</f>
        <v>148.77981976025356</v>
      </c>
      <c r="E73" s="89">
        <f>((J$55/(1+$B73)^1+K$55/(1+$B73)^2+L$55/(1+$B73)^3+(L$55*(1+E$71)/($B73-E$71))/(1+$B73)^3)+$D$64)/$D$66</f>
        <v>169.93247242722899</v>
      </c>
      <c r="F73" s="89">
        <f>((J$55/(1+$B73)^1+K$55/(1+$B73)^2+L$55/(1+$B73)^3+(L$55*(1+F$71)/($B73-F$71))/(1+$B73)^3)+$D$64)/$D$66</f>
        <v>197.75955191955703</v>
      </c>
      <c r="G73" s="89">
        <f>((J$55/(1+$B73)^1+K$55/(1+$B73)^2+L$55/(1+$B73)^3+(L$55*(1+G$71)/($B73-G$71))/(1+$B73)^3)+$D$64)/$D$66</f>
        <v>236.01184760687721</v>
      </c>
      <c r="H73" s="89">
        <f>((J$55/(1+$B73)^1+K$55/(1+$B73)^2+L$55/(1+$B73)^3+(L$55*(1+H$71)/($B73-H$71))/(1+$B73)^3)+$D$64)/$D$66</f>
        <v>291.89835837411334</v>
      </c>
    </row>
    <row r="74" spans="2:8" x14ac:dyDescent="0.35">
      <c r="B74" s="109">
        <f>WACC+(0)</f>
        <v>6.1692088654905053E-2</v>
      </c>
      <c r="D74" s="89">
        <f>((J$55/(1+$B74)^1+K$55/(1+$B74)^2+L$55/(1+$B74)^3+(L$55*(1+D$71)/($B74-D$71))/(1+$B74)^3)+$D$64)/$D$66</f>
        <v>130.77105780739791</v>
      </c>
      <c r="E74" s="89">
        <f>((J$55/(1+$B74)^1+K$55/(1+$B74)^2+L$55/(1+$B74)^3+(L$55*(1+E$71)/($B74-E$71))/(1+$B74)^3)+$D$64)/$D$66</f>
        <v>147.23727048403987</v>
      </c>
      <c r="F74" s="122">
        <f>((J$55/(1+$B74)^1+K$55/(1+$B74)^2+L$55/(1+$B74)^3+(L$55*(1+F$71)/($B74-F$71))/(1+$B74)^3)+$D$64)/$D$66</f>
        <v>168.1911570108976</v>
      </c>
      <c r="G74" s="89">
        <f>((J$55/(1+$B74)^1+K$55/(1+$B74)^2+L$55/(1+$B74)^3+(L$55*(1+G$71)/($B74-G$71))/(1+$B74)^3)+$D$64)/$D$66</f>
        <v>195.75675245824479</v>
      </c>
      <c r="H74" s="89">
        <f>((J$55/(1+$B74)^1+K$55/(1+$B74)^2+L$55/(1+$B74)^3+(L$55*(1+H$71)/($B74-H$71))/(1+$B74)^3)+$D$64)/$D$66</f>
        <v>233.64960097437037</v>
      </c>
    </row>
    <row r="75" spans="2:8" x14ac:dyDescent="0.35">
      <c r="B75" s="109">
        <f>WACC+(0.005)</f>
        <v>6.6692088654905057E-2</v>
      </c>
      <c r="D75" s="89">
        <f>((J$55/(1+$B75)^1+K$55/(1+$B75)^2+L$55/(1+$B75)^3+(L$55*(1+D$71)/($B75-D$71))/(1+$B75)^3)+$D$64)/$D$66</f>
        <v>116.24746732532005</v>
      </c>
      <c r="E75" s="89">
        <f>((J$55/(1+$B75)^1+K$55/(1+$B75)^2+L$55/(1+$B75)^3+(L$55*(1+E$71)/($B75-E$71))/(1+$B75)^3)+$D$64)/$D$66</f>
        <v>129.40402599450596</v>
      </c>
      <c r="F75" s="89">
        <f>((J$55/(1+$B75)^1+K$55/(1+$B75)^2+L$55/(1+$B75)^3+(L$55*(1+F$71)/($B75-F$71))/(1+$B75)^3)+$D$64)/$D$66</f>
        <v>145.71623339553776</v>
      </c>
      <c r="G75" s="89">
        <f>((J$55/(1+$B75)^1+K$55/(1+$B75)^2+L$55/(1+$B75)^3+(L$55*(1+G$71)/($B75-G$71))/(1+$B75)^3)+$D$64)/$D$66</f>
        <v>166.47414230853602</v>
      </c>
      <c r="H75" s="89">
        <f>((J$55/(1+$B75)^1+K$55/(1+$B75)^2+L$55/(1+$B75)^3+(L$55*(1+H$71)/($B75-H$71))/(1+$B75)^3)+$D$64)/$D$66</f>
        <v>193.78192211803176</v>
      </c>
    </row>
    <row r="76" spans="2:8" x14ac:dyDescent="0.35">
      <c r="B76" s="109">
        <f>WACC+(0.01)</f>
        <v>7.1692088654905048E-2</v>
      </c>
      <c r="D76" s="89">
        <f>((J$55/(1+$B76)^1+K$55/(1+$B76)^2+L$55/(1+$B76)^3+(L$55*(1+D$71)/($B76-D$71))/(1+$B76)^3)+$D$64)/$D$66</f>
        <v>104.28689559720397</v>
      </c>
      <c r="E76" s="89">
        <f>((J$55/(1+$B76)^1+K$55/(1+$B76)^2+L$55/(1+$B76)^3+(L$55*(1+E$71)/($B76-E$71))/(1+$B76)^3)+$D$64)/$D$66</f>
        <v>115.02187583506</v>
      </c>
      <c r="F76" s="89">
        <f>((J$55/(1+$B76)^1+K$55/(1+$B76)^2+L$55/(1+$B76)^3+(L$55*(1+F$71)/($B76-F$71))/(1+$B76)^3)+$D$64)/$D$66</f>
        <v>128.05595653021115</v>
      </c>
      <c r="G76" s="89">
        <f>((J$55/(1+$B76)^1+K$55/(1+$B76)^2+L$55/(1+$B76)^3+(L$55*(1+G$71)/($B76-G$71))/(1+$B76)^3)+$D$64)/$D$66</f>
        <v>144.2163091670339</v>
      </c>
      <c r="H76" s="89">
        <f>((J$55/(1+$B76)^1+K$55/(1+$B76)^2+L$55/(1+$B76)^3+(L$55*(1+H$71)/($B76-H$71))/(1+$B76)^3)+$D$64)/$D$66</f>
        <v>164.78097707432633</v>
      </c>
    </row>
    <row r="78" spans="2:8" x14ac:dyDescent="0.35">
      <c r="B78" s="90"/>
    </row>
    <row r="79" spans="2:8" x14ac:dyDescent="0.35">
      <c r="B79" s="90"/>
    </row>
  </sheetData>
  <mergeCells count="2">
    <mergeCell ref="B2:H2"/>
    <mergeCell ref="B4:J4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AE69-8E49-494C-8CEC-C457D2E2EA1C}">
  <sheetPr>
    <tabColor theme="9" tint="0.39997558519241921"/>
  </sheetPr>
  <dimension ref="C2:P56"/>
  <sheetViews>
    <sheetView showGridLines="0" workbookViewId="0">
      <pane xSplit="3" ySplit="6" topLeftCell="D7" activePane="bottomRight" state="frozen"/>
      <selection pane="topRight" activeCell="D1" sqref="D1"/>
      <selection pane="bottomLeft" activeCell="A8" sqref="A8"/>
      <selection pane="bottomRight" activeCell="E9" sqref="E9"/>
    </sheetView>
  </sheetViews>
  <sheetFormatPr defaultColWidth="8.7265625" defaultRowHeight="14.5" x14ac:dyDescent="0.35"/>
  <cols>
    <col min="1" max="2" width="2.81640625" customWidth="1"/>
    <col min="3" max="3" width="52" customWidth="1"/>
    <col min="4" max="5" width="15" customWidth="1"/>
    <col min="6" max="6" width="13.26953125" customWidth="1"/>
    <col min="7" max="8" width="11.54296875" customWidth="1"/>
    <col min="9" max="9" width="13.26953125" customWidth="1"/>
    <col min="11" max="12" width="14.26953125" bestFit="1" customWidth="1"/>
    <col min="13" max="13" width="12.453125" customWidth="1"/>
    <col min="14" max="14" width="11.7265625" customWidth="1"/>
    <col min="15" max="15" width="11.26953125" customWidth="1"/>
    <col min="16" max="16" width="13.453125" customWidth="1"/>
  </cols>
  <sheetData>
    <row r="2" spans="3:9" ht="16.5" x14ac:dyDescent="0.35">
      <c r="C2" s="145" t="s">
        <v>49</v>
      </c>
      <c r="D2" s="145"/>
      <c r="E2" s="145"/>
      <c r="F2" s="145"/>
      <c r="G2" s="145"/>
      <c r="H2" s="145"/>
      <c r="I2" s="145"/>
    </row>
    <row r="3" spans="3:9" x14ac:dyDescent="0.35">
      <c r="C3" s="146" t="s">
        <v>51</v>
      </c>
      <c r="D3" s="146"/>
      <c r="E3" s="146"/>
      <c r="F3" s="146"/>
      <c r="G3" s="146"/>
      <c r="H3" s="146"/>
      <c r="I3" s="146"/>
    </row>
    <row r="4" spans="3:9" x14ac:dyDescent="0.35">
      <c r="C4" s="147" t="s">
        <v>50</v>
      </c>
      <c r="D4" s="147"/>
      <c r="E4" s="147"/>
      <c r="F4" s="147"/>
      <c r="G4" s="147"/>
      <c r="H4" s="147"/>
      <c r="I4" s="147"/>
    </row>
    <row r="6" spans="3:9" ht="20" customHeight="1" x14ac:dyDescent="0.35">
      <c r="C6" s="20" t="s">
        <v>46</v>
      </c>
      <c r="D6" s="47" t="s">
        <v>48</v>
      </c>
      <c r="E6" s="47" t="s">
        <v>47</v>
      </c>
      <c r="F6" s="47" t="s">
        <v>43</v>
      </c>
      <c r="G6" s="47" t="s">
        <v>42</v>
      </c>
      <c r="H6" s="47" t="s">
        <v>45</v>
      </c>
      <c r="I6" s="47" t="s">
        <v>44</v>
      </c>
    </row>
    <row r="7" spans="3:9" ht="20" customHeight="1" x14ac:dyDescent="0.35">
      <c r="C7" s="21" t="str">
        <f>'FP-2026_2022'!B2</f>
        <v>Assets</v>
      </c>
      <c r="D7" s="22"/>
      <c r="E7" s="22"/>
      <c r="F7" s="22"/>
      <c r="G7" s="22"/>
      <c r="H7" s="22"/>
      <c r="I7" s="22"/>
    </row>
    <row r="8" spans="3:9" ht="20" customHeight="1" x14ac:dyDescent="0.35">
      <c r="C8" s="23" t="str">
        <f>'FP-2026_2022'!B3</f>
        <v>Current assets</v>
      </c>
      <c r="D8" s="24"/>
      <c r="E8" s="24"/>
      <c r="F8" s="24"/>
      <c r="G8" s="24"/>
      <c r="H8" s="24"/>
      <c r="I8" s="24"/>
    </row>
    <row r="9" spans="3:9" ht="20" customHeight="1" x14ac:dyDescent="0.35">
      <c r="C9" s="25" t="str">
        <f>'FP-2026_2022'!B4</f>
        <v>Cash and cash equivalents</v>
      </c>
      <c r="D9" s="26">
        <f>'FP-2026_2022'!C4</f>
        <v>439144</v>
      </c>
      <c r="E9" s="26">
        <f>'FP-2026_2022'!D4</f>
        <v>71058</v>
      </c>
      <c r="F9" s="26">
        <f>'FP-2026_2022'!E4</f>
        <v>101261</v>
      </c>
      <c r="G9" s="26">
        <f>'FP-2026_2022'!F4</f>
        <v>313915</v>
      </c>
      <c r="H9" s="26">
        <f>'FP-2026_2022'!G4</f>
        <v>122685</v>
      </c>
      <c r="I9" s="26">
        <f>'FP-2026_2022'!H4</f>
        <v>331569</v>
      </c>
    </row>
    <row r="10" spans="3:9" ht="20" customHeight="1" x14ac:dyDescent="0.35">
      <c r="C10" s="25" t="str">
        <f>'FP-2026_2022'!B5</f>
        <v>Accounts receivable</v>
      </c>
      <c r="D10" s="26">
        <f>'FP-2026_2022'!C5</f>
        <v>20546</v>
      </c>
      <c r="E10" s="26">
        <f>'FP-2026_2022'!D5</f>
        <v>26260</v>
      </c>
      <c r="F10" s="26">
        <f>'FP-2026_2022'!E5</f>
        <v>56290</v>
      </c>
      <c r="G10" s="26">
        <f>'FP-2026_2022'!F5</f>
        <v>32474</v>
      </c>
      <c r="H10" s="26">
        <f>'FP-2026_2022'!G5</f>
        <v>46638</v>
      </c>
      <c r="I10" s="26">
        <f>'FP-2026_2022'!H5</f>
        <v>38500</v>
      </c>
    </row>
    <row r="11" spans="3:9" ht="20" customHeight="1" x14ac:dyDescent="0.35">
      <c r="C11" s="25" t="str">
        <f>'FP-2026_2022'!B6</f>
        <v>Income taxes receivable</v>
      </c>
      <c r="D11" s="26">
        <f>'FP-2026_2022'!C6</f>
        <v>0</v>
      </c>
      <c r="E11" s="26">
        <f>'FP-2026_2022'!D6</f>
        <v>0</v>
      </c>
      <c r="F11" s="26">
        <f>'FP-2026_2022'!E6</f>
        <v>0</v>
      </c>
      <c r="G11" s="26">
        <f>'FP-2026_2022'!F6</f>
        <v>0</v>
      </c>
      <c r="H11" s="26">
        <f>'FP-2026_2022'!G6</f>
        <v>0</v>
      </c>
      <c r="I11" s="26">
        <f>'FP-2026_2022'!H6</f>
        <v>559</v>
      </c>
    </row>
    <row r="12" spans="3:9" ht="20" customHeight="1" x14ac:dyDescent="0.35">
      <c r="C12" s="25" t="str">
        <f>'FP-2026_2022'!B7</f>
        <v>Distributions receivable from equity-accounted investments</v>
      </c>
      <c r="D12" s="26">
        <f>'FP-2026_2022'!C7</f>
        <v>0</v>
      </c>
      <c r="E12" s="26">
        <f>'FP-2026_2022'!D7</f>
        <v>0</v>
      </c>
      <c r="F12" s="26">
        <f>'FP-2026_2022'!E7</f>
        <v>0</v>
      </c>
      <c r="G12" s="26">
        <f>'FP-2026_2022'!F7</f>
        <v>26906</v>
      </c>
      <c r="H12" s="26">
        <f>'FP-2026_2022'!G7</f>
        <v>54620</v>
      </c>
      <c r="I12" s="26">
        <f>'FP-2026_2022'!H7</f>
        <v>0</v>
      </c>
    </row>
    <row r="13" spans="3:9" ht="20" customHeight="1" x14ac:dyDescent="0.35">
      <c r="C13" s="25" t="str">
        <f>'FP-2026_2022'!B8</f>
        <v>Prepaid expenses</v>
      </c>
      <c r="D13" s="26">
        <f>'FP-2026_2022'!C8</f>
        <v>9549</v>
      </c>
      <c r="E13" s="26">
        <f>'FP-2026_2022'!D8</f>
        <v>13135</v>
      </c>
      <c r="F13" s="26">
        <f>'FP-2026_2022'!E8</f>
        <v>23462</v>
      </c>
      <c r="G13" s="26">
        <f>'FP-2026_2022'!F8</f>
        <v>13668</v>
      </c>
      <c r="H13" s="26">
        <f>'FP-2026_2022'!G8</f>
        <v>13911</v>
      </c>
      <c r="I13" s="26">
        <f>'FP-2026_2022'!H8</f>
        <v>38452</v>
      </c>
    </row>
    <row r="14" spans="3:9" ht="20" customHeight="1" x14ac:dyDescent="0.35">
      <c r="C14" s="25" t="str">
        <f>'FP-2026_2022'!B9</f>
        <v>Inventories</v>
      </c>
      <c r="D14" s="26">
        <f>'FP-2026_2022'!C9</f>
        <v>630655</v>
      </c>
      <c r="E14" s="26">
        <f>'FP-2026_2022'!D9</f>
        <v>590927</v>
      </c>
      <c r="F14" s="26">
        <f>'FP-2026_2022'!E9</f>
        <v>957172</v>
      </c>
      <c r="G14" s="26">
        <f>'FP-2026_2022'!F9</f>
        <v>916812</v>
      </c>
      <c r="H14" s="26">
        <f>'FP-2026_2022'!G9</f>
        <v>921095</v>
      </c>
      <c r="I14" s="26">
        <f>'FP-2026_2022'!H9</f>
        <v>1103175</v>
      </c>
    </row>
    <row r="15" spans="3:9" ht="20" customHeight="1" x14ac:dyDescent="0.35">
      <c r="C15" s="25" t="str">
        <f>'FP-2026_2022'!B10</f>
        <v>Derivative financial instruments</v>
      </c>
      <c r="D15" s="26">
        <f>'FP-2026_2022'!C10</f>
        <v>468</v>
      </c>
      <c r="E15" s="26">
        <f>'FP-2026_2022'!D10</f>
        <v>15987</v>
      </c>
      <c r="F15" s="26">
        <f>'FP-2026_2022'!E10</f>
        <v>18762</v>
      </c>
      <c r="G15" s="26">
        <f>'FP-2026_2022'!F10</f>
        <v>5318</v>
      </c>
      <c r="H15" s="26">
        <f>'FP-2026_2022'!G10</f>
        <v>42331</v>
      </c>
      <c r="I15" s="26">
        <f>'FP-2026_2022'!H10</f>
        <v>9734</v>
      </c>
    </row>
    <row r="16" spans="3:9" ht="20" customHeight="1" x14ac:dyDescent="0.35">
      <c r="C16" s="27" t="str">
        <f>'FP-2026_2022'!B11</f>
        <v>Total current assets</v>
      </c>
      <c r="D16" s="28">
        <f>SUM(D9:D15)</f>
        <v>1100362</v>
      </c>
      <c r="E16" s="28">
        <f t="shared" ref="E16:G16" si="0">SUM(E9:E15)</f>
        <v>717367</v>
      </c>
      <c r="F16" s="28">
        <f t="shared" si="0"/>
        <v>1156947</v>
      </c>
      <c r="G16" s="28">
        <f t="shared" si="0"/>
        <v>1309093</v>
      </c>
      <c r="H16" s="28">
        <f t="shared" ref="H16" si="1">SUM(H9:H15)</f>
        <v>1201280</v>
      </c>
      <c r="I16" s="28">
        <f>SUM(I9:I15)</f>
        <v>1521989</v>
      </c>
    </row>
    <row r="17" spans="3:16" ht="20" customHeight="1" x14ac:dyDescent="0.35">
      <c r="C17" s="29"/>
      <c r="D17" s="30"/>
      <c r="E17" s="30"/>
      <c r="F17" s="30"/>
      <c r="G17" s="30"/>
      <c r="H17" s="30"/>
      <c r="I17" s="30"/>
    </row>
    <row r="18" spans="3:16" ht="20" customHeight="1" x14ac:dyDescent="0.35">
      <c r="C18" s="23" t="str">
        <f>'FP-2026_2022'!B12</f>
        <v>Non-current assets</v>
      </c>
      <c r="D18" s="24"/>
      <c r="E18" s="24"/>
      <c r="F18" s="24"/>
      <c r="G18" s="24"/>
      <c r="H18" s="24"/>
      <c r="I18" s="24"/>
    </row>
    <row r="19" spans="3:16" ht="20" customHeight="1" x14ac:dyDescent="0.35">
      <c r="C19" s="25" t="str">
        <f>'FP-2026_2022'!B13</f>
        <v>Right-of-use assets</v>
      </c>
      <c r="D19" s="26">
        <f>'FP-2026_2022'!C13</f>
        <v>1344639</v>
      </c>
      <c r="E19" s="26">
        <f>'FP-2026_2022'!D13</f>
        <v>1480255</v>
      </c>
      <c r="F19" s="26">
        <f>'FP-2026_2022'!E13</f>
        <v>1699755</v>
      </c>
      <c r="G19" s="26">
        <f>'FP-2026_2022'!F13</f>
        <v>1788550</v>
      </c>
      <c r="H19" s="26">
        <f>'FP-2026_2022'!G13</f>
        <v>2109445</v>
      </c>
      <c r="I19" s="26">
        <f>'FP-2026_2022'!H13</f>
        <v>2397209</v>
      </c>
    </row>
    <row r="20" spans="3:16" ht="20" customHeight="1" x14ac:dyDescent="0.35">
      <c r="C20" s="25" t="str">
        <f>'FP-2026_2022'!B14</f>
        <v>Property, plant and equipment</v>
      </c>
      <c r="D20" s="26">
        <f>'FP-2026_2022'!C14</f>
        <v>709469</v>
      </c>
      <c r="E20" s="26">
        <f>'FP-2026_2022'!D14</f>
        <v>761876</v>
      </c>
      <c r="F20" s="26">
        <f>'FP-2026_2022'!E14</f>
        <v>802750</v>
      </c>
      <c r="G20" s="26">
        <f>'FP-2026_2022'!F14</f>
        <v>950994</v>
      </c>
      <c r="H20" s="26">
        <f>'FP-2026_2022'!G14</f>
        <v>1046390</v>
      </c>
      <c r="I20" s="26">
        <f>'FP-2026_2022'!H14</f>
        <v>1258499</v>
      </c>
    </row>
    <row r="21" spans="3:16" ht="20" customHeight="1" x14ac:dyDescent="0.35">
      <c r="C21" s="25" t="str">
        <f>'FP-2026_2022'!B15</f>
        <v>Intangible assets</v>
      </c>
      <c r="D21" s="26">
        <f>'FP-2026_2022'!C15</f>
        <v>161791</v>
      </c>
      <c r="E21" s="26">
        <f>'FP-2026_2022'!D15</f>
        <v>164066</v>
      </c>
      <c r="F21" s="26">
        <f>'FP-2026_2022'!E15</f>
        <v>164654</v>
      </c>
      <c r="G21" s="26">
        <f>'FP-2026_2022'!F15</f>
        <v>167835</v>
      </c>
      <c r="H21" s="26">
        <f>'FP-2026_2022'!G15</f>
        <v>180689</v>
      </c>
      <c r="I21" s="26">
        <f>'FP-2026_2022'!H15</f>
        <v>178281</v>
      </c>
    </row>
    <row r="22" spans="3:16" ht="20" customHeight="1" x14ac:dyDescent="0.35">
      <c r="C22" s="25" t="str">
        <f>'FP-2026_2022'!B16</f>
        <v>Derivative financial instruments</v>
      </c>
      <c r="D22" s="26">
        <f>'FP-2026_2022'!C16</f>
        <v>314</v>
      </c>
      <c r="E22" s="26">
        <f>'FP-2026_2022'!D16</f>
        <v>290</v>
      </c>
      <c r="F22" s="26">
        <f>'FP-2026_2022'!E16</f>
        <v>0</v>
      </c>
      <c r="G22" s="26">
        <f>'FP-2026_2022'!F16</f>
        <v>0</v>
      </c>
      <c r="H22" s="26">
        <f>'FP-2026_2022'!G16</f>
        <v>0</v>
      </c>
      <c r="I22" s="26">
        <f>'FP-2026_2022'!H16</f>
        <v>0</v>
      </c>
    </row>
    <row r="23" spans="3:16" ht="20" customHeight="1" x14ac:dyDescent="0.35">
      <c r="C23" s="25" t="str">
        <f>'FP-2026_2022'!B17</f>
        <v>Goodwill</v>
      </c>
      <c r="D23" s="26">
        <f>'FP-2026_2022'!C17</f>
        <v>727782</v>
      </c>
      <c r="E23" s="26">
        <f>'FP-2026_2022'!D17</f>
        <v>727782</v>
      </c>
      <c r="F23" s="26">
        <f>'FP-2026_2022'!E17</f>
        <v>727782</v>
      </c>
      <c r="G23" s="26">
        <f>'FP-2026_2022'!F17</f>
        <v>727782</v>
      </c>
      <c r="H23" s="26">
        <f>'FP-2026_2022'!G17</f>
        <v>727782</v>
      </c>
      <c r="I23" s="26">
        <f>'FP-2026_2022'!H17</f>
        <v>801709</v>
      </c>
    </row>
    <row r="24" spans="3:16" ht="20" customHeight="1" x14ac:dyDescent="0.35">
      <c r="C24" s="25" t="str">
        <f>'FP-2026_2022'!B18</f>
        <v>Equity-accounted investments</v>
      </c>
      <c r="D24" s="26">
        <f>'FP-2026_2022'!C18</f>
        <v>179389</v>
      </c>
      <c r="E24" s="26">
        <f>'FP-2026_2022'!D18</f>
        <v>211926</v>
      </c>
      <c r="F24" s="26">
        <f>'FP-2026_2022'!E18</f>
        <v>267768</v>
      </c>
      <c r="G24" s="26">
        <f>'FP-2026_2022'!F18</f>
        <v>319353</v>
      </c>
      <c r="H24" s="26">
        <f>'FP-2026_2022'!G18</f>
        <v>1131650</v>
      </c>
      <c r="I24" s="26">
        <f>'FP-2026_2022'!H18</f>
        <v>1285105</v>
      </c>
    </row>
    <row r="25" spans="3:16" ht="20" customHeight="1" x14ac:dyDescent="0.35">
      <c r="C25" s="25" t="str">
        <f>'FP-2026_2022'!B19</f>
        <v>Derivative on equity-accounted investments</v>
      </c>
      <c r="D25" s="26">
        <f>'FP-2026_2022'!C19</f>
        <v>0</v>
      </c>
      <c r="E25" s="26">
        <f>'FP-2026_2022'!D19</f>
        <v>0</v>
      </c>
      <c r="F25" s="26">
        <f>'FP-2026_2022'!E19</f>
        <v>0</v>
      </c>
      <c r="G25" s="26">
        <f>'FP-2026_2022'!F19</f>
        <v>0</v>
      </c>
      <c r="H25" s="26">
        <f>'FP-2026_2022'!G19</f>
        <v>85356</v>
      </c>
      <c r="I25" s="26">
        <f>'FP-2026_2022'!H19</f>
        <v>89846</v>
      </c>
    </row>
    <row r="26" spans="3:16" ht="20" customHeight="1" x14ac:dyDescent="0.35">
      <c r="C26" s="25" t="str">
        <f>'FP-2026_2022'!B20</f>
        <v>Deferred income taxes</v>
      </c>
      <c r="D26" s="26">
        <f>'FP-2026_2022'!C20</f>
        <v>0</v>
      </c>
      <c r="E26" s="26">
        <f>'FP-2026_2022'!D20</f>
        <v>0</v>
      </c>
      <c r="F26" s="26">
        <f>'FP-2026_2022'!E20</f>
        <v>0</v>
      </c>
      <c r="G26" s="26">
        <f>'FP-2026_2022'!F20</f>
        <v>0</v>
      </c>
      <c r="H26" s="26">
        <f>'FP-2026_2022'!G20</f>
        <v>0</v>
      </c>
      <c r="I26" s="26">
        <f>'FP-2026_2022'!H20</f>
        <v>25714</v>
      </c>
    </row>
    <row r="27" spans="3:16" ht="20" customHeight="1" x14ac:dyDescent="0.35">
      <c r="C27" s="35" t="str">
        <f>'FP-2026_2022'!B21</f>
        <v>Total assets</v>
      </c>
      <c r="D27" s="36">
        <f>SUM(D19:D26)+D16</f>
        <v>4223746</v>
      </c>
      <c r="E27" s="36">
        <f t="shared" ref="E27:G27" si="2">SUM(E19:E26)+E16</f>
        <v>4063562</v>
      </c>
      <c r="F27" s="36">
        <f t="shared" si="2"/>
        <v>4819656</v>
      </c>
      <c r="G27" s="36">
        <f t="shared" si="2"/>
        <v>5263607</v>
      </c>
      <c r="H27" s="36">
        <f t="shared" ref="H27" si="3">SUM(H19:H26)+H16</f>
        <v>6482592</v>
      </c>
      <c r="I27" s="36">
        <f>SUM(I19:I26)+I16</f>
        <v>7558352</v>
      </c>
      <c r="K27" s="2"/>
      <c r="L27" s="2"/>
      <c r="M27" s="2"/>
      <c r="N27" s="2"/>
      <c r="O27" s="2"/>
      <c r="P27" s="2"/>
    </row>
    <row r="28" spans="3:16" ht="20" customHeight="1" x14ac:dyDescent="0.35">
      <c r="C28" s="29"/>
      <c r="D28" s="30"/>
      <c r="E28" s="30"/>
      <c r="F28" s="30"/>
      <c r="G28" s="30"/>
      <c r="H28" s="30"/>
      <c r="I28" s="30"/>
      <c r="K28" s="2"/>
      <c r="L28" s="2"/>
      <c r="M28" s="2"/>
      <c r="N28" s="2"/>
      <c r="O28" s="2"/>
      <c r="P28" s="2"/>
    </row>
    <row r="29" spans="3:16" ht="20" customHeight="1" x14ac:dyDescent="0.35">
      <c r="C29" s="21" t="str">
        <f>'FP-2026_2022'!B22</f>
        <v>Liabilities and shareholders' equity</v>
      </c>
      <c r="D29" s="31"/>
      <c r="E29" s="31"/>
      <c r="F29" s="31"/>
      <c r="G29" s="31"/>
      <c r="H29" s="31"/>
      <c r="I29" s="31"/>
      <c r="K29" s="2"/>
      <c r="L29" s="2"/>
      <c r="M29" s="2"/>
      <c r="N29" s="2"/>
      <c r="O29" s="2"/>
      <c r="P29" s="2"/>
    </row>
    <row r="30" spans="3:16" ht="20" customHeight="1" x14ac:dyDescent="0.35">
      <c r="C30" s="32" t="str">
        <f>'FP-2026_2022'!B23</f>
        <v>Current liabilities</v>
      </c>
      <c r="D30" s="26"/>
      <c r="E30" s="26"/>
      <c r="F30" s="26"/>
      <c r="G30" s="26"/>
      <c r="H30" s="26"/>
      <c r="I30" s="26"/>
    </row>
    <row r="31" spans="3:16" ht="20" customHeight="1" x14ac:dyDescent="0.35">
      <c r="C31" s="29" t="str">
        <f>'FP-2026_2022'!B24</f>
        <v>Accounts payable and accrued liabilities</v>
      </c>
      <c r="D31" s="26">
        <f>'FP-2026_2022'!C24</f>
        <v>253072</v>
      </c>
      <c r="E31" s="26">
        <f>'FP-2026_2022'!D24</f>
        <v>283125</v>
      </c>
      <c r="F31" s="26">
        <f>'FP-2026_2022'!E24</f>
        <v>336862</v>
      </c>
      <c r="G31" s="26">
        <f>'FP-2026_2022'!F24</f>
        <v>334357</v>
      </c>
      <c r="H31" s="26">
        <f>'FP-2026_2022'!G24</f>
        <v>354900</v>
      </c>
      <c r="I31" s="26">
        <f>'FP-2026_2022'!H24</f>
        <v>461766</v>
      </c>
    </row>
    <row r="32" spans="3:16" ht="20" customHeight="1" x14ac:dyDescent="0.35">
      <c r="C32" s="25" t="str">
        <f>'FP-2026_2022'!B25</f>
        <v>Short-term borrowings</v>
      </c>
      <c r="D32" s="26">
        <f>'FP-2026_2022'!C25</f>
        <v>0</v>
      </c>
      <c r="E32" s="26">
        <f>'FP-2026_2022'!D25</f>
        <v>89386</v>
      </c>
      <c r="F32" s="26">
        <f>'FP-2026_2022'!E25</f>
        <v>0</v>
      </c>
      <c r="G32" s="26">
        <f>'FP-2026_2022'!F25</f>
        <v>0</v>
      </c>
      <c r="H32" s="26">
        <f>'FP-2026_2022'!G25</f>
        <v>0</v>
      </c>
      <c r="I32" s="26">
        <f>'FP-2026_2022'!H25</f>
        <v>0</v>
      </c>
    </row>
    <row r="33" spans="3:16" ht="20" customHeight="1" x14ac:dyDescent="0.35">
      <c r="C33" s="25" t="str">
        <f>'FP-2026_2022'!B26</f>
        <v>Dividend payable</v>
      </c>
      <c r="D33" s="26">
        <f>'FP-2026_2022'!C26</f>
        <v>14583</v>
      </c>
      <c r="E33" s="26">
        <f>'FP-2026_2022'!D26</f>
        <v>14891</v>
      </c>
      <c r="F33" s="26">
        <f>'FP-2026_2022'!E26</f>
        <v>15828</v>
      </c>
      <c r="G33" s="26">
        <f>'FP-2026_2022'!F26</f>
        <v>19827</v>
      </c>
      <c r="H33" s="26">
        <f>'FP-2026_2022'!G26</f>
        <v>25558</v>
      </c>
      <c r="I33" s="26">
        <f>'FP-2026_2022'!H26</f>
        <v>28941</v>
      </c>
    </row>
    <row r="34" spans="3:16" ht="20" customHeight="1" x14ac:dyDescent="0.35">
      <c r="C34" s="25" t="str">
        <f>'FP-2026_2022'!B27</f>
        <v>Derivative financial instruments</v>
      </c>
      <c r="D34" s="26">
        <f>'FP-2026_2022'!C27</f>
        <v>25821</v>
      </c>
      <c r="E34" s="26">
        <f>'FP-2026_2022'!D27</f>
        <v>3435</v>
      </c>
      <c r="F34" s="26">
        <f>'FP-2026_2022'!E27</f>
        <v>8490</v>
      </c>
      <c r="G34" s="26">
        <f>'FP-2026_2022'!F27</f>
        <v>3681</v>
      </c>
      <c r="H34" s="26">
        <f>'FP-2026_2022'!G27</f>
        <v>0</v>
      </c>
      <c r="I34" s="26">
        <f>'FP-2026_2022'!H27</f>
        <v>17145</v>
      </c>
    </row>
    <row r="35" spans="3:16" ht="20" customHeight="1" x14ac:dyDescent="0.35">
      <c r="C35" s="25" t="str">
        <f>'FP-2026_2022'!B28</f>
        <v>Income taxes payable</v>
      </c>
      <c r="D35" s="26">
        <f>'FP-2026_2022'!C28</f>
        <v>12975</v>
      </c>
      <c r="E35" s="26">
        <f>'FP-2026_2022'!D28</f>
        <v>62516</v>
      </c>
      <c r="F35" s="26">
        <f>'FP-2026_2022'!E28</f>
        <v>72572</v>
      </c>
      <c r="G35" s="26">
        <f>'FP-2026_2022'!F28</f>
        <v>63998</v>
      </c>
      <c r="H35" s="26">
        <f>'FP-2026_2022'!G28</f>
        <v>81372</v>
      </c>
      <c r="I35" s="26">
        <f>'FP-2026_2022'!H28</f>
        <v>64309</v>
      </c>
    </row>
    <row r="36" spans="3:16" ht="20" customHeight="1" x14ac:dyDescent="0.35">
      <c r="C36" s="25" t="str">
        <f>'FP-2026_2022'!B29</f>
        <v>Current portion of long-term debt</v>
      </c>
      <c r="D36" s="26">
        <f>'FP-2026_2022'!C29</f>
        <v>832821</v>
      </c>
      <c r="E36" s="26">
        <f>'FP-2026_2022'!D29</f>
        <v>257674</v>
      </c>
      <c r="F36" s="26">
        <f>'FP-2026_2022'!E29</f>
        <v>510315</v>
      </c>
      <c r="G36" s="26">
        <f>'FP-2026_2022'!F29</f>
        <v>21460</v>
      </c>
      <c r="H36" s="26">
        <f>'FP-2026_2022'!G29</f>
        <v>273771</v>
      </c>
      <c r="I36" s="26">
        <f>'FP-2026_2022'!H29</f>
        <v>398275</v>
      </c>
    </row>
    <row r="37" spans="3:16" ht="20" customHeight="1" x14ac:dyDescent="0.35">
      <c r="C37" s="29" t="str">
        <f>'FP-2026_2022'!B30</f>
        <v>Current portion of lease liabilities</v>
      </c>
      <c r="D37" s="26">
        <f>'FP-2026_2022'!C30</f>
        <v>181893</v>
      </c>
      <c r="E37" s="26">
        <f>'FP-2026_2022'!D30</f>
        <v>200864</v>
      </c>
      <c r="F37" s="26">
        <f>'FP-2026_2022'!E30</f>
        <v>218807</v>
      </c>
      <c r="G37" s="26">
        <f>'FP-2026_2022'!F30</f>
        <v>234523</v>
      </c>
      <c r="H37" s="26">
        <f>'FP-2026_2022'!G30</f>
        <v>278705</v>
      </c>
      <c r="I37" s="26">
        <f>'FP-2026_2022'!H30</f>
        <v>377743</v>
      </c>
      <c r="K37" s="2"/>
      <c r="L37" s="2"/>
      <c r="M37" s="2"/>
      <c r="N37" s="2"/>
      <c r="O37" s="2"/>
    </row>
    <row r="38" spans="3:16" ht="20" customHeight="1" x14ac:dyDescent="0.35">
      <c r="C38" s="27" t="str">
        <f>'FP-2026_2022'!B31</f>
        <v>Total current liabilities</v>
      </c>
      <c r="D38" s="28">
        <f>SUM(D31:D37)</f>
        <v>1321165</v>
      </c>
      <c r="E38" s="28">
        <f t="shared" ref="E38:G38" si="4">SUM(E31:E37)</f>
        <v>911891</v>
      </c>
      <c r="F38" s="28">
        <f t="shared" si="4"/>
        <v>1162874</v>
      </c>
      <c r="G38" s="28">
        <f t="shared" si="4"/>
        <v>677846</v>
      </c>
      <c r="H38" s="28">
        <f t="shared" ref="H38" si="5">SUM(H31:H37)</f>
        <v>1014306</v>
      </c>
      <c r="I38" s="28">
        <f>SUM(I31:I37)</f>
        <v>1348179</v>
      </c>
      <c r="L38" s="2"/>
      <c r="M38" s="2"/>
      <c r="N38" s="2"/>
      <c r="O38" s="2"/>
    </row>
    <row r="39" spans="3:16" ht="20" customHeight="1" x14ac:dyDescent="0.35">
      <c r="C39" s="29"/>
      <c r="D39" s="30"/>
      <c r="E39" s="30"/>
      <c r="F39" s="30"/>
      <c r="G39" s="30"/>
      <c r="H39" s="30"/>
      <c r="I39" s="30"/>
      <c r="K39" s="2"/>
      <c r="L39" s="2"/>
      <c r="M39" s="2"/>
      <c r="N39" s="2"/>
      <c r="O39" s="2"/>
    </row>
    <row r="40" spans="3:16" ht="20" customHeight="1" x14ac:dyDescent="0.35">
      <c r="C40" s="32" t="str">
        <f>'FP-2026_2022'!B32</f>
        <v>Non-current liabilities</v>
      </c>
      <c r="D40" s="26"/>
      <c r="E40" s="26"/>
      <c r="F40" s="26"/>
      <c r="G40" s="26"/>
      <c r="H40" s="26"/>
      <c r="I40" s="26"/>
    </row>
    <row r="41" spans="3:16" ht="20" customHeight="1" x14ac:dyDescent="0.35">
      <c r="C41" s="25" t="str">
        <f>'FP-2026_2022'!B33</f>
        <v>Non-current provisions and other liabilities</v>
      </c>
      <c r="D41" s="26">
        <f>'FP-2026_2022'!C33</f>
        <v>0</v>
      </c>
      <c r="E41" s="26">
        <f>'FP-2026_2022'!D33</f>
        <v>0</v>
      </c>
      <c r="F41" s="26">
        <f>'FP-2026_2022'!E33</f>
        <v>0</v>
      </c>
      <c r="G41" s="26">
        <f>'FP-2026_2022'!F33</f>
        <v>0</v>
      </c>
      <c r="H41" s="26">
        <f>'FP-2026_2022'!G33</f>
        <v>0</v>
      </c>
      <c r="I41" s="26">
        <f>'FP-2026_2022'!H33</f>
        <v>31982</v>
      </c>
    </row>
    <row r="42" spans="3:16" ht="20" customHeight="1" x14ac:dyDescent="0.35">
      <c r="C42" s="25" t="str">
        <f>'FP-2026_2022'!B34</f>
        <v>Non-current portion of long-term debt</v>
      </c>
      <c r="D42" s="26">
        <f>'FP-2026_2022'!C34</f>
        <v>1044079</v>
      </c>
      <c r="E42" s="26">
        <f>'FP-2026_2022'!D34</f>
        <v>1539240</v>
      </c>
      <c r="F42" s="26">
        <f>'FP-2026_2022'!E34</f>
        <v>1741588</v>
      </c>
      <c r="G42" s="26">
        <f>'FP-2026_2022'!F34</f>
        <v>2242934</v>
      </c>
      <c r="H42" s="26">
        <f>'FP-2026_2022'!G34</f>
        <v>2008908</v>
      </c>
      <c r="I42" s="26">
        <f>'FP-2026_2022'!H34</f>
        <v>2226846</v>
      </c>
    </row>
    <row r="43" spans="3:16" ht="20" customHeight="1" x14ac:dyDescent="0.35">
      <c r="C43" s="25" t="str">
        <f>'FP-2026_2022'!B35</f>
        <v>Non-current portion of lease liabilities</v>
      </c>
      <c r="D43" s="26">
        <f>'FP-2026_2022'!C35</f>
        <v>1401769</v>
      </c>
      <c r="E43" s="26">
        <f>'FP-2026_2022'!D35</f>
        <v>1526564</v>
      </c>
      <c r="F43" s="26">
        <f>'FP-2026_2022'!E35</f>
        <v>1741936</v>
      </c>
      <c r="G43" s="26">
        <f>'FP-2026_2022'!F35</f>
        <v>1834706</v>
      </c>
      <c r="H43" s="26">
        <f>'FP-2026_2022'!G35</f>
        <v>2148272</v>
      </c>
      <c r="I43" s="26">
        <f>'FP-2026_2022'!H35</f>
        <v>2392730</v>
      </c>
    </row>
    <row r="44" spans="3:16" ht="20" customHeight="1" x14ac:dyDescent="0.35">
      <c r="C44" s="25" t="str">
        <f>'FP-2026_2022'!B36</f>
        <v>Deferred income taxes</v>
      </c>
      <c r="D44" s="26">
        <f>'FP-2026_2022'!C36</f>
        <v>121879</v>
      </c>
      <c r="E44" s="26">
        <f>'FP-2026_2022'!D36</f>
        <v>151901</v>
      </c>
      <c r="F44" s="26">
        <f>'FP-2026_2022'!E36</f>
        <v>144848</v>
      </c>
      <c r="G44" s="26">
        <f>'FP-2026_2022'!F36</f>
        <v>127273</v>
      </c>
      <c r="H44" s="26">
        <f>'FP-2026_2022'!G36</f>
        <v>122848</v>
      </c>
      <c r="I44" s="26">
        <f>'FP-2026_2022'!H36</f>
        <v>102727</v>
      </c>
      <c r="L44" s="2"/>
      <c r="M44" s="2"/>
      <c r="N44" s="2"/>
      <c r="O44" s="2"/>
      <c r="P44" s="2"/>
    </row>
    <row r="45" spans="3:16" ht="20" customHeight="1" x14ac:dyDescent="0.35">
      <c r="C45" s="27" t="str">
        <f>'FP-2026_2022'!B37</f>
        <v>Total liabilities</v>
      </c>
      <c r="D45" s="28">
        <f>SUM(D41:D44)+D38</f>
        <v>3888892</v>
      </c>
      <c r="E45" s="28">
        <f t="shared" ref="E45:G45" si="6">SUM(E41:E44)+E38</f>
        <v>4129596</v>
      </c>
      <c r="F45" s="28">
        <f t="shared" si="6"/>
        <v>4791246</v>
      </c>
      <c r="G45" s="28">
        <f t="shared" si="6"/>
        <v>4882759</v>
      </c>
      <c r="H45" s="28">
        <f t="shared" ref="H45" si="7">SUM(H41:H44)+H38</f>
        <v>5294334</v>
      </c>
      <c r="I45" s="28">
        <f>SUM(I41:I44)+I38</f>
        <v>6102464</v>
      </c>
      <c r="K45" s="3"/>
      <c r="L45" s="3"/>
      <c r="M45" s="3"/>
      <c r="N45" s="3"/>
      <c r="O45" s="3"/>
      <c r="P45" s="3"/>
    </row>
    <row r="46" spans="3:16" ht="20" customHeight="1" x14ac:dyDescent="0.35">
      <c r="C46" s="29"/>
      <c r="D46" s="30"/>
      <c r="E46" s="30"/>
      <c r="F46" s="30"/>
      <c r="G46" s="30"/>
      <c r="H46" s="30"/>
      <c r="I46" s="30"/>
      <c r="K46" s="2"/>
      <c r="L46" s="2"/>
      <c r="M46" s="2"/>
      <c r="N46" s="2"/>
      <c r="O46" s="2"/>
      <c r="P46" s="2"/>
    </row>
    <row r="47" spans="3:16" ht="20" customHeight="1" x14ac:dyDescent="0.35">
      <c r="C47" s="32" t="str">
        <f>'FP-2026_2022'!B38</f>
        <v>Shareholders' equity</v>
      </c>
      <c r="D47" s="26"/>
      <c r="E47" s="26"/>
      <c r="F47" s="26"/>
      <c r="G47" s="26"/>
      <c r="H47" s="26"/>
      <c r="I47" s="26"/>
    </row>
    <row r="48" spans="3:16" ht="20" customHeight="1" x14ac:dyDescent="0.35">
      <c r="C48" s="33" t="str">
        <f>'FP-2026_2022'!B39</f>
        <v>Share capital</v>
      </c>
      <c r="D48" s="26">
        <f>'FP-2026_2022'!C39</f>
        <v>485487</v>
      </c>
      <c r="E48" s="26">
        <f>'FP-2026_2022'!D39</f>
        <v>479446</v>
      </c>
      <c r="F48" s="26">
        <f>'FP-2026_2022'!E39</f>
        <v>488074</v>
      </c>
      <c r="G48" s="26">
        <f>'FP-2026_2022'!F39</f>
        <v>523125</v>
      </c>
      <c r="H48" s="26">
        <f>'FP-2026_2022'!G39</f>
        <v>1275702</v>
      </c>
      <c r="I48" s="26">
        <f>'FP-2026_2022'!H39</f>
        <v>1266750</v>
      </c>
    </row>
    <row r="49" spans="3:16" ht="20" customHeight="1" x14ac:dyDescent="0.35">
      <c r="C49" s="25" t="str">
        <f>'FP-2026_2022'!B40</f>
        <v>Treasury shares</v>
      </c>
      <c r="D49" s="26">
        <f>'FP-2026_2022'!C40</f>
        <v>0</v>
      </c>
      <c r="E49" s="26">
        <f>'FP-2026_2022'!D40</f>
        <v>0</v>
      </c>
      <c r="F49" s="26">
        <f>'FP-2026_2022'!E40</f>
        <v>0</v>
      </c>
      <c r="G49" s="26">
        <f>'FP-2026_2022'!F40</f>
        <v>0</v>
      </c>
      <c r="H49" s="26">
        <f>'FP-2026_2022'!G40</f>
        <v>-20000</v>
      </c>
      <c r="I49" s="26">
        <f>'FP-2026_2022'!H40</f>
        <v>-29970</v>
      </c>
    </row>
    <row r="50" spans="3:16" ht="20" customHeight="1" x14ac:dyDescent="0.35">
      <c r="C50" s="25" t="str">
        <f>'FP-2026_2022'!B41</f>
        <v>Contributed surplus</v>
      </c>
      <c r="D50" s="26">
        <f>'FP-2026_2022'!C41</f>
        <v>28527</v>
      </c>
      <c r="E50" s="26">
        <f>'FP-2026_2022'!D41</f>
        <v>32924</v>
      </c>
      <c r="F50" s="26">
        <f>'FP-2026_2022'!E41</f>
        <v>42678</v>
      </c>
      <c r="G50" s="26">
        <f>'FP-2026_2022'!F41</f>
        <v>49539</v>
      </c>
      <c r="H50" s="26">
        <f>'FP-2026_2022'!G41</f>
        <v>51718</v>
      </c>
      <c r="I50" s="26">
        <f>'FP-2026_2022'!H41</f>
        <v>57572</v>
      </c>
    </row>
    <row r="51" spans="3:16" ht="20" customHeight="1" x14ac:dyDescent="0.35">
      <c r="C51" s="25" t="str">
        <f>'FP-2026_2022'!B42</f>
        <v>Retained earnings (Deficit)</v>
      </c>
      <c r="D51" s="26">
        <f>'FP-2026_2022'!C42</f>
        <v>-149983</v>
      </c>
      <c r="E51" s="26">
        <f>'FP-2026_2022'!D42</f>
        <v>-578079</v>
      </c>
      <c r="F51" s="26">
        <f>'FP-2026_2022'!E42</f>
        <v>-514078</v>
      </c>
      <c r="G51" s="26">
        <f>'FP-2026_2022'!F42</f>
        <v>-226547</v>
      </c>
      <c r="H51" s="26">
        <f>'FP-2026_2022'!G42</f>
        <v>-225301</v>
      </c>
      <c r="I51" s="26">
        <f>'FP-2026_2022'!H42</f>
        <v>128858</v>
      </c>
    </row>
    <row r="52" spans="3:16" ht="20" customHeight="1" x14ac:dyDescent="0.35">
      <c r="C52" s="25" t="str">
        <f>'FP-2026_2022'!B43</f>
        <v>Accumulated other comprehensive income</v>
      </c>
      <c r="D52" s="26">
        <f>'FP-2026_2022'!C43</f>
        <v>-29177</v>
      </c>
      <c r="E52" s="26">
        <f>'FP-2026_2022'!D43</f>
        <v>-325</v>
      </c>
      <c r="F52" s="26">
        <f>'FP-2026_2022'!E43</f>
        <v>11736</v>
      </c>
      <c r="G52" s="26">
        <f>'FP-2026_2022'!F43</f>
        <v>34731</v>
      </c>
      <c r="H52" s="26">
        <f>'FP-2026_2022'!G43</f>
        <v>106139</v>
      </c>
      <c r="I52" s="26">
        <f>'FP-2026_2022'!H43</f>
        <v>32678</v>
      </c>
    </row>
    <row r="53" spans="3:16" ht="20" customHeight="1" x14ac:dyDescent="0.35">
      <c r="C53" s="27" t="str">
        <f>'FP-2026_2022'!B44</f>
        <v>Total shareholders' equity</v>
      </c>
      <c r="D53" s="28">
        <f>SUM(D48:D52)</f>
        <v>334854</v>
      </c>
      <c r="E53" s="28">
        <f t="shared" ref="E53:H53" si="8">SUM(E48:E52)</f>
        <v>-66034</v>
      </c>
      <c r="F53" s="28">
        <f t="shared" si="8"/>
        <v>28410</v>
      </c>
      <c r="G53" s="28">
        <f t="shared" si="8"/>
        <v>380848</v>
      </c>
      <c r="H53" s="28">
        <f t="shared" si="8"/>
        <v>1188258</v>
      </c>
      <c r="I53" s="28">
        <f>SUM(I48:I52)</f>
        <v>1455888</v>
      </c>
    </row>
    <row r="54" spans="3:16" ht="20" customHeight="1" x14ac:dyDescent="0.35">
      <c r="C54" s="29"/>
      <c r="D54" s="30"/>
      <c r="E54" s="30"/>
      <c r="F54" s="30"/>
      <c r="G54" s="30"/>
      <c r="H54" s="30"/>
      <c r="I54" s="30"/>
    </row>
    <row r="55" spans="3:16" ht="20" customHeight="1" x14ac:dyDescent="0.35">
      <c r="C55" s="35" t="str">
        <f>'FP-2026_2022'!B45</f>
        <v>Total liabilities and shareholders' equity</v>
      </c>
      <c r="D55" s="36">
        <f>D53+D45</f>
        <v>4223746</v>
      </c>
      <c r="E55" s="36">
        <f t="shared" ref="E55:I55" si="9">E53+E45</f>
        <v>4063562</v>
      </c>
      <c r="F55" s="36">
        <f t="shared" si="9"/>
        <v>4819656</v>
      </c>
      <c r="G55" s="36">
        <f t="shared" si="9"/>
        <v>5263607</v>
      </c>
      <c r="H55" s="36">
        <f t="shared" si="9"/>
        <v>6482592</v>
      </c>
      <c r="I55" s="36">
        <f t="shared" si="9"/>
        <v>7558352</v>
      </c>
      <c r="K55" s="3"/>
      <c r="L55" s="3"/>
      <c r="M55" s="3"/>
      <c r="N55" s="3"/>
      <c r="O55" s="3"/>
      <c r="P55" s="3"/>
    </row>
    <row r="56" spans="3:16" x14ac:dyDescent="0.35">
      <c r="K56" s="4"/>
      <c r="L56" s="4"/>
      <c r="M56" s="4"/>
      <c r="N56" s="4"/>
      <c r="O56" s="4"/>
      <c r="P56" s="4"/>
    </row>
  </sheetData>
  <mergeCells count="3">
    <mergeCell ref="C2:I2"/>
    <mergeCell ref="C3:I3"/>
    <mergeCell ref="C4:I4"/>
  </mergeCells>
  <phoneticPr fontId="3" type="noConversion"/>
  <conditionalFormatting sqref="F56">
    <cfRule type="cellIs" dxfId="2" priority="1" operator="equal">
      <formula>"CHECK"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86E6-7831-4BE1-AC68-9BC2B934B86F}">
  <sheetPr>
    <tabColor theme="9" tint="0.39997558519241921"/>
  </sheetPr>
  <dimension ref="C2:P38"/>
  <sheetViews>
    <sheetView showGridLines="0" workbookViewId="0">
      <pane xSplit="3" ySplit="6" topLeftCell="D15" activePane="bottomRight" state="frozen"/>
      <selection pane="topRight" activeCell="D1" sqref="D1"/>
      <selection pane="bottomLeft" activeCell="A8" sqref="A8"/>
      <selection pane="bottomRight" activeCell="D7" sqref="D7"/>
    </sheetView>
  </sheetViews>
  <sheetFormatPr defaultColWidth="8.7265625" defaultRowHeight="14.5" x14ac:dyDescent="0.35"/>
  <cols>
    <col min="1" max="2" width="2.81640625" customWidth="1"/>
    <col min="3" max="3" width="52" customWidth="1"/>
    <col min="4" max="5" width="15" customWidth="1"/>
    <col min="6" max="6" width="13.26953125" customWidth="1"/>
    <col min="7" max="8" width="11.54296875" customWidth="1"/>
    <col min="9" max="9" width="13.26953125" customWidth="1"/>
    <col min="11" max="12" width="14.26953125" bestFit="1" customWidth="1"/>
    <col min="13" max="13" width="12.453125" customWidth="1"/>
    <col min="14" max="14" width="11.7265625" customWidth="1"/>
    <col min="15" max="15" width="11.26953125" customWidth="1"/>
    <col min="16" max="16" width="13.453125" customWidth="1"/>
  </cols>
  <sheetData>
    <row r="2" spans="3:9" ht="16.5" x14ac:dyDescent="0.35">
      <c r="C2" s="145" t="s">
        <v>49</v>
      </c>
      <c r="D2" s="145"/>
      <c r="E2" s="145"/>
      <c r="F2" s="145"/>
      <c r="G2" s="145"/>
      <c r="H2" s="145"/>
      <c r="I2" s="145"/>
    </row>
    <row r="3" spans="3:9" x14ac:dyDescent="0.35">
      <c r="C3" s="146" t="s">
        <v>130</v>
      </c>
      <c r="D3" s="146"/>
      <c r="E3" s="146"/>
      <c r="F3" s="146"/>
      <c r="G3" s="146"/>
      <c r="H3" s="146"/>
      <c r="I3" s="146"/>
    </row>
    <row r="4" spans="3:9" ht="15.5" customHeight="1" x14ac:dyDescent="0.35">
      <c r="C4" s="147" t="s">
        <v>50</v>
      </c>
      <c r="D4" s="147"/>
      <c r="E4" s="147"/>
      <c r="F4" s="147"/>
      <c r="G4" s="147"/>
      <c r="H4" s="147"/>
      <c r="I4" s="147"/>
    </row>
    <row r="6" spans="3:9" ht="30" customHeight="1" x14ac:dyDescent="0.35">
      <c r="C6" s="10" t="s">
        <v>129</v>
      </c>
      <c r="D6" s="47" t="s">
        <v>48</v>
      </c>
      <c r="E6" s="47" t="s">
        <v>47</v>
      </c>
      <c r="F6" s="47" t="s">
        <v>43</v>
      </c>
      <c r="G6" s="47" t="s">
        <v>42</v>
      </c>
      <c r="H6" s="47" t="s">
        <v>45</v>
      </c>
      <c r="I6" s="47" t="s">
        <v>44</v>
      </c>
    </row>
    <row r="7" spans="3:9" ht="30" customHeight="1" x14ac:dyDescent="0.35">
      <c r="C7" s="11" t="s">
        <v>52</v>
      </c>
      <c r="D7" s="12">
        <f>'Data-Income Statement'!C31</f>
        <v>4026259</v>
      </c>
      <c r="E7" s="12">
        <f>'Data-Income Statement'!D31</f>
        <v>4330761</v>
      </c>
      <c r="F7" s="12">
        <f>'Data-Income Statement'!E31</f>
        <v>5052741</v>
      </c>
      <c r="G7" s="12">
        <f>'Data-Income Statement'!F31</f>
        <v>5867348</v>
      </c>
      <c r="H7" s="12">
        <f>'Data-Income Statement'!G2</f>
        <v>6413145</v>
      </c>
      <c r="I7" s="12">
        <f>'Data-Income Statement'!H2</f>
        <v>7255754</v>
      </c>
    </row>
    <row r="8" spans="3:9" ht="30" customHeight="1" x14ac:dyDescent="0.35">
      <c r="C8" s="13" t="s">
        <v>53</v>
      </c>
      <c r="D8" s="12">
        <f>'Data-Income Statement'!C32</f>
        <v>2261248</v>
      </c>
      <c r="E8" s="12">
        <f>'Data-Income Statement'!D32</f>
        <v>2428536</v>
      </c>
      <c r="F8" s="12">
        <f>'Data-Income Statement'!E32</f>
        <v>2854535</v>
      </c>
      <c r="G8" s="12">
        <f>'Data-Income Statement'!F32</f>
        <v>3253907</v>
      </c>
      <c r="H8" s="12">
        <f>'Data-Income Statement'!G3</f>
        <v>3519399</v>
      </c>
      <c r="I8" s="12">
        <f>'Data-Income Statement'!H3</f>
        <v>3987089</v>
      </c>
    </row>
    <row r="9" spans="3:9" ht="30" customHeight="1" x14ac:dyDescent="0.35">
      <c r="C9" s="14" t="s">
        <v>54</v>
      </c>
      <c r="D9" s="15">
        <f>D7-D8</f>
        <v>1765011</v>
      </c>
      <c r="E9" s="15">
        <f>E7-E8</f>
        <v>1902225</v>
      </c>
      <c r="F9" s="15">
        <f t="shared" ref="F9:I9" si="0">F7-F8</f>
        <v>2198206</v>
      </c>
      <c r="G9" s="15">
        <f t="shared" si="0"/>
        <v>2613441</v>
      </c>
      <c r="H9" s="15">
        <f t="shared" si="0"/>
        <v>2893746</v>
      </c>
      <c r="I9" s="15">
        <f t="shared" si="0"/>
        <v>3268665</v>
      </c>
    </row>
    <row r="10" spans="3:9" ht="30" customHeight="1" x14ac:dyDescent="0.35">
      <c r="C10" s="11" t="s">
        <v>55</v>
      </c>
      <c r="D10" s="12">
        <f>'Data-Income Statement'!C34</f>
        <v>654032</v>
      </c>
      <c r="E10" s="12">
        <f>'Data-Income Statement'!D34</f>
        <v>652832</v>
      </c>
      <c r="F10" s="12">
        <f>'Data-Income Statement'!E34</f>
        <v>720312</v>
      </c>
      <c r="G10" s="12">
        <f>'Data-Income Statement'!F34</f>
        <v>844871</v>
      </c>
      <c r="H10" s="12">
        <f>'Data-Income Statement'!G5</f>
        <v>930168</v>
      </c>
      <c r="I10" s="12">
        <f>'Data-Income Statement'!H5</f>
        <v>1093289</v>
      </c>
    </row>
    <row r="11" spans="3:9" ht="30" customHeight="1" x14ac:dyDescent="0.35">
      <c r="C11" s="11" t="s">
        <v>56</v>
      </c>
      <c r="D11" s="12">
        <f>'Data-Income Statement'!C35</f>
        <v>269633</v>
      </c>
      <c r="E11" s="12">
        <f>'Data-Income Statement'!D35</f>
        <v>297960</v>
      </c>
      <c r="F11" s="12">
        <f>'Data-Income Statement'!E35</f>
        <v>331792</v>
      </c>
      <c r="G11" s="12">
        <f>'Data-Income Statement'!F35</f>
        <v>348142</v>
      </c>
      <c r="H11" s="12">
        <f>'Data-Income Statement'!G6</f>
        <v>382805</v>
      </c>
      <c r="I11" s="12">
        <f>'Data-Income Statement'!H6</f>
        <v>429053</v>
      </c>
    </row>
    <row r="12" spans="3:9" ht="30" customHeight="1" x14ac:dyDescent="0.35">
      <c r="C12" s="11" t="s">
        <v>57</v>
      </c>
      <c r="D12" s="12">
        <f>'Data-Income Statement'!C36</f>
        <v>-19654</v>
      </c>
      <c r="E12" s="12">
        <f>'Data-Income Statement'!D36</f>
        <v>-33184</v>
      </c>
      <c r="F12" s="12">
        <f>'Data-Income Statement'!E36</f>
        <v>-45399</v>
      </c>
      <c r="G12" s="12">
        <f>'Data-Income Statement'!F36</f>
        <v>-75293</v>
      </c>
      <c r="H12" s="12">
        <f>'Data-Income Statement'!G7</f>
        <v>-129905</v>
      </c>
      <c r="I12" s="12">
        <f>'Data-Income Statement'!H7</f>
        <v>-191536</v>
      </c>
    </row>
    <row r="13" spans="3:9" ht="30" customHeight="1" x14ac:dyDescent="0.35">
      <c r="C13" s="14" t="s">
        <v>58</v>
      </c>
      <c r="D13" s="15">
        <f>D9-SUM(D10:D12)</f>
        <v>861000</v>
      </c>
      <c r="E13" s="15">
        <f t="shared" ref="E13:I13" si="1">E9-SUM(E10:E12)</f>
        <v>984617</v>
      </c>
      <c r="F13" s="15">
        <f t="shared" si="1"/>
        <v>1191501</v>
      </c>
      <c r="G13" s="15">
        <f t="shared" si="1"/>
        <v>1495721</v>
      </c>
      <c r="H13" s="15">
        <f t="shared" si="1"/>
        <v>1710678</v>
      </c>
      <c r="I13" s="15">
        <f t="shared" si="1"/>
        <v>1937859</v>
      </c>
    </row>
    <row r="14" spans="3:9" ht="30" customHeight="1" x14ac:dyDescent="0.35">
      <c r="C14" s="11" t="s">
        <v>59</v>
      </c>
      <c r="D14" s="12">
        <f>'Data-Income Statement'!C9</f>
        <v>0</v>
      </c>
      <c r="E14" s="12">
        <f>'Data-Income Statement'!D9</f>
        <v>0</v>
      </c>
      <c r="F14" s="12">
        <f>'Data-Income Statement'!E9</f>
        <v>0</v>
      </c>
      <c r="G14" s="12">
        <f>'Data-Income Statement'!F9</f>
        <v>0</v>
      </c>
      <c r="H14" s="12">
        <f>'Data-Income Statement'!G9</f>
        <v>0</v>
      </c>
      <c r="I14" s="12">
        <f>'Data-Income Statement'!H9</f>
        <v>-10348</v>
      </c>
    </row>
    <row r="15" spans="3:9" ht="30" customHeight="1" x14ac:dyDescent="0.35">
      <c r="C15" s="11" t="s">
        <v>60</v>
      </c>
      <c r="D15" s="12">
        <f>'Data-Income Statement'!C38</f>
        <v>95646</v>
      </c>
      <c r="E15" s="12">
        <f>'Data-Income Statement'!D38</f>
        <v>91216</v>
      </c>
      <c r="F15" s="12">
        <f>'Data-Income Statement'!E38</f>
        <v>115394</v>
      </c>
      <c r="G15" s="12">
        <f>'Data-Income Statement'!F38</f>
        <v>144842</v>
      </c>
      <c r="H15" s="12">
        <f>'Data-Income Statement'!G10</f>
        <v>163782</v>
      </c>
      <c r="I15" s="12">
        <f>'Data-Income Statement'!H10</f>
        <v>184020</v>
      </c>
    </row>
    <row r="16" spans="3:9" ht="30" customHeight="1" x14ac:dyDescent="0.35">
      <c r="C16" s="14" t="s">
        <v>61</v>
      </c>
      <c r="D16" s="15">
        <f>D13-SUM(D14:D15)</f>
        <v>765354</v>
      </c>
      <c r="E16" s="15">
        <f t="shared" ref="E16:H16" si="2">E13-SUM(E14:E15)</f>
        <v>893401</v>
      </c>
      <c r="F16" s="15">
        <f t="shared" si="2"/>
        <v>1076107</v>
      </c>
      <c r="G16" s="15">
        <f t="shared" si="2"/>
        <v>1350879</v>
      </c>
      <c r="H16" s="15">
        <f t="shared" si="2"/>
        <v>1546896</v>
      </c>
      <c r="I16" s="15">
        <f>I13-SUM(I14:I15)</f>
        <v>1764187</v>
      </c>
    </row>
    <row r="17" spans="3:16" ht="30" customHeight="1" x14ac:dyDescent="0.35">
      <c r="C17" s="11" t="s">
        <v>62</v>
      </c>
      <c r="D17" s="12">
        <f>'Data-Income Statement'!C40</f>
        <v>201006</v>
      </c>
      <c r="E17" s="12">
        <f>'Data-Income Statement'!D40</f>
        <v>230232</v>
      </c>
      <c r="F17" s="12">
        <f>'Data-Income Statement'!E40</f>
        <v>274244</v>
      </c>
      <c r="G17" s="12">
        <f>'Data-Income Statement'!F40</f>
        <v>340419</v>
      </c>
      <c r="H17" s="12">
        <f>'Data-Income Statement'!G12</f>
        <v>378351</v>
      </c>
      <c r="I17" s="12">
        <f>'Data-Income Statement'!H12</f>
        <v>454749</v>
      </c>
    </row>
    <row r="18" spans="3:16" ht="30" customHeight="1" x14ac:dyDescent="0.35">
      <c r="C18" s="14" t="s">
        <v>63</v>
      </c>
      <c r="D18" s="16">
        <f>D16-D17</f>
        <v>564348</v>
      </c>
      <c r="E18" s="16">
        <f t="shared" ref="E18:I18" si="3">E16-E17</f>
        <v>663169</v>
      </c>
      <c r="F18" s="16">
        <f t="shared" si="3"/>
        <v>801863</v>
      </c>
      <c r="G18" s="16">
        <f t="shared" si="3"/>
        <v>1010460</v>
      </c>
      <c r="H18" s="16">
        <f t="shared" si="3"/>
        <v>1168545</v>
      </c>
      <c r="I18" s="16">
        <f t="shared" si="3"/>
        <v>1309438</v>
      </c>
    </row>
    <row r="19" spans="3:16" ht="30" customHeight="1" x14ac:dyDescent="0.35">
      <c r="C19" s="11"/>
      <c r="D19" s="12"/>
      <c r="E19" s="12"/>
      <c r="F19" s="12"/>
      <c r="G19" s="12"/>
      <c r="H19" s="17"/>
      <c r="I19" s="12"/>
    </row>
    <row r="20" spans="3:16" ht="30" customHeight="1" x14ac:dyDescent="0.35">
      <c r="C20" s="18" t="s">
        <v>64</v>
      </c>
      <c r="D20" s="12"/>
      <c r="E20" s="12"/>
      <c r="F20" s="12"/>
      <c r="G20" s="12"/>
      <c r="H20" s="12"/>
      <c r="I20" s="12"/>
    </row>
    <row r="21" spans="3:16" ht="30" customHeight="1" x14ac:dyDescent="0.35">
      <c r="C21" s="51" t="s">
        <v>65</v>
      </c>
      <c r="D21" s="52"/>
      <c r="E21" s="52"/>
      <c r="F21" s="52"/>
      <c r="G21" s="52"/>
      <c r="H21" s="52"/>
      <c r="I21" s="52"/>
    </row>
    <row r="22" spans="3:16" ht="30" customHeight="1" x14ac:dyDescent="0.35">
      <c r="C22" s="11" t="s">
        <v>80</v>
      </c>
      <c r="D22" s="12">
        <f>'Data-Income Statement'!C16</f>
        <v>-460</v>
      </c>
      <c r="E22" s="12">
        <f>'Data-Income Statement'!D16</f>
        <v>723</v>
      </c>
      <c r="F22" s="12">
        <f>'Data-Income Statement'!E16</f>
        <v>9245</v>
      </c>
      <c r="G22" s="12">
        <f>'Data-Income Statement'!F16</f>
        <v>13841</v>
      </c>
      <c r="H22" s="12">
        <f>'Data-Income Statement'!G16</f>
        <v>0</v>
      </c>
      <c r="I22" s="12">
        <f>'Data-Income Statement'!H16</f>
        <v>0</v>
      </c>
    </row>
    <row r="23" spans="3:16" ht="30" customHeight="1" x14ac:dyDescent="0.35">
      <c r="C23" s="11" t="s">
        <v>66</v>
      </c>
      <c r="D23" s="12">
        <f>'Data-Income Statement'!C17</f>
        <v>-354</v>
      </c>
      <c r="E23" s="12">
        <f>'Data-Income Statement'!D17</f>
        <v>-435</v>
      </c>
      <c r="F23" s="12">
        <f>'Data-Income Statement'!E17</f>
        <v>-1019</v>
      </c>
      <c r="G23" s="12">
        <f>'Data-Income Statement'!F17</f>
        <v>-3237</v>
      </c>
      <c r="H23" s="12">
        <f>'Data-Income Statement'!G17</f>
        <v>-4826</v>
      </c>
      <c r="I23" s="12">
        <f>'Data-Income Statement'!H17</f>
        <v>-4735</v>
      </c>
    </row>
    <row r="24" spans="3:16" ht="30" customHeight="1" x14ac:dyDescent="0.35">
      <c r="C24" s="11" t="s">
        <v>67</v>
      </c>
      <c r="D24" s="12">
        <f>'Data-Income Statement'!C18</f>
        <v>-8061</v>
      </c>
      <c r="E24" s="12">
        <f>'Data-Income Statement'!D18</f>
        <v>614</v>
      </c>
      <c r="F24" s="12">
        <f>'Data-Income Statement'!E18</f>
        <v>10813</v>
      </c>
      <c r="G24" s="12">
        <f>'Data-Income Statement'!F18</f>
        <v>4004</v>
      </c>
      <c r="H24" s="12">
        <f>'Data-Income Statement'!G18</f>
        <v>76436</v>
      </c>
      <c r="I24" s="12">
        <f>'Data-Income Statement'!H18</f>
        <v>-70225</v>
      </c>
    </row>
    <row r="25" spans="3:16" ht="30" customHeight="1" x14ac:dyDescent="0.35">
      <c r="C25" s="11" t="s">
        <v>68</v>
      </c>
      <c r="D25" s="12">
        <f>'Data-Income Statement'!C19</f>
        <v>-3588</v>
      </c>
      <c r="E25" s="12">
        <f>'Data-Income Statement'!D19</f>
        <v>-1217</v>
      </c>
      <c r="F25" s="12">
        <f>'Data-Income Statement'!E19</f>
        <v>-6031</v>
      </c>
      <c r="G25" s="12">
        <f>'Data-Income Statement'!F19</f>
        <v>23249</v>
      </c>
      <c r="H25" s="12">
        <f>'Data-Income Statement'!G19</f>
        <v>-23480</v>
      </c>
      <c r="I25" s="12">
        <f>'Data-Income Statement'!H19</f>
        <v>33473</v>
      </c>
    </row>
    <row r="26" spans="3:16" ht="30" customHeight="1" x14ac:dyDescent="0.35">
      <c r="C26" s="11" t="s">
        <v>69</v>
      </c>
      <c r="D26" s="12">
        <f>'Data-Income Statement'!C20</f>
        <v>240</v>
      </c>
      <c r="E26" s="12">
        <f>'Data-Income Statement'!D20</f>
        <v>115</v>
      </c>
      <c r="F26" s="12">
        <f>'Data-Income Statement'!E20</f>
        <v>-2176</v>
      </c>
      <c r="G26" s="12">
        <f>'Data-Income Statement'!F20</f>
        <v>-2807</v>
      </c>
      <c r="H26" s="12">
        <f>'Data-Income Statement'!G20</f>
        <v>1277</v>
      </c>
      <c r="I26" s="12">
        <f>'Data-Income Statement'!H20</f>
        <v>1253</v>
      </c>
    </row>
    <row r="27" spans="3:16" ht="30" customHeight="1" x14ac:dyDescent="0.35">
      <c r="C27" s="11" t="s">
        <v>70</v>
      </c>
      <c r="D27" s="12">
        <f>'Data-Income Statement'!C21</f>
        <v>0</v>
      </c>
      <c r="E27" s="12">
        <f>'Data-Income Statement'!D21</f>
        <v>0</v>
      </c>
      <c r="F27" s="12">
        <f>'Data-Income Statement'!E21</f>
        <v>0</v>
      </c>
      <c r="G27" s="12">
        <f>'Data-Income Statement'!F21</f>
        <v>0</v>
      </c>
      <c r="H27" s="12">
        <f>'Data-Income Statement'!G21</f>
        <v>0</v>
      </c>
      <c r="I27" s="12">
        <f>'Data-Income Statement'!H21</f>
        <v>0</v>
      </c>
    </row>
    <row r="28" spans="3:16" ht="30" customHeight="1" x14ac:dyDescent="0.35">
      <c r="C28" s="11" t="s">
        <v>71</v>
      </c>
      <c r="D28" s="12">
        <f>'Data-Income Statement'!C22</f>
        <v>-27750</v>
      </c>
      <c r="E28" s="12">
        <f>'Data-Income Statement'!D22</f>
        <v>-294</v>
      </c>
      <c r="F28" s="12">
        <f>'Data-Income Statement'!E22</f>
        <v>38016</v>
      </c>
      <c r="G28" s="12">
        <f>'Data-Income Statement'!F22</f>
        <v>12984</v>
      </c>
      <c r="H28" s="12">
        <f>'Data-Income Statement'!G22</f>
        <v>50582</v>
      </c>
      <c r="I28" s="12">
        <f>'Data-Income Statement'!H22</f>
        <v>-48470</v>
      </c>
      <c r="K28" s="2"/>
      <c r="L28" s="2"/>
      <c r="M28" s="2"/>
      <c r="N28" s="2"/>
      <c r="O28" s="2"/>
      <c r="P28" s="2"/>
    </row>
    <row r="29" spans="3:16" ht="30" customHeight="1" x14ac:dyDescent="0.35">
      <c r="C29" s="11" t="s">
        <v>72</v>
      </c>
      <c r="D29" s="12">
        <f>'Data-Income Statement'!C23</f>
        <v>7353</v>
      </c>
      <c r="E29" s="12">
        <f>'Data-Income Statement'!D23</f>
        <v>-576</v>
      </c>
      <c r="F29" s="12">
        <f>'Data-Income Statement'!E23</f>
        <v>-9934</v>
      </c>
      <c r="G29" s="12">
        <f>'Data-Income Statement'!F23</f>
        <v>-3152</v>
      </c>
      <c r="H29" s="12">
        <f>'Data-Income Statement'!G23</f>
        <v>-13680</v>
      </c>
      <c r="I29" s="12">
        <f>'Data-Income Statement'!H23</f>
        <v>13011</v>
      </c>
      <c r="K29" s="2"/>
      <c r="L29" s="2"/>
      <c r="M29" s="2"/>
      <c r="N29" s="2"/>
      <c r="O29" s="2"/>
      <c r="P29" s="2"/>
    </row>
    <row r="30" spans="3:16" ht="30" customHeight="1" x14ac:dyDescent="0.35">
      <c r="C30" s="14" t="s">
        <v>73</v>
      </c>
      <c r="D30" s="16">
        <f>SUM(D22:D29)</f>
        <v>-32620</v>
      </c>
      <c r="E30" s="16">
        <f t="shared" ref="E30:H30" si="4">SUM(E22:E29)</f>
        <v>-1070</v>
      </c>
      <c r="F30" s="16">
        <f t="shared" si="4"/>
        <v>38914</v>
      </c>
      <c r="G30" s="16">
        <f t="shared" si="4"/>
        <v>44882</v>
      </c>
      <c r="H30" s="16">
        <f t="shared" si="4"/>
        <v>86309</v>
      </c>
      <c r="I30" s="16">
        <f>SUM(I22:I29)</f>
        <v>-75693</v>
      </c>
      <c r="K30" s="2"/>
      <c r="L30" s="2"/>
      <c r="M30" s="2"/>
      <c r="N30" s="2"/>
      <c r="O30" s="2"/>
      <c r="P30" s="2"/>
    </row>
    <row r="31" spans="3:16" ht="30" customHeight="1" x14ac:dyDescent="0.35">
      <c r="C31" s="34" t="s">
        <v>74</v>
      </c>
      <c r="D31" s="19">
        <f>D18+D30</f>
        <v>531728</v>
      </c>
      <c r="E31" s="19">
        <f t="shared" ref="E31:I31" si="5">E18+E30</f>
        <v>662099</v>
      </c>
      <c r="F31" s="19">
        <f t="shared" si="5"/>
        <v>840777</v>
      </c>
      <c r="G31" s="19">
        <f t="shared" si="5"/>
        <v>1055342</v>
      </c>
      <c r="H31" s="19">
        <f t="shared" si="5"/>
        <v>1254854</v>
      </c>
      <c r="I31" s="19">
        <f t="shared" si="5"/>
        <v>1233745</v>
      </c>
    </row>
    <row r="32" spans="3:16" ht="30" customHeight="1" x14ac:dyDescent="0.35">
      <c r="C32" s="7"/>
      <c r="D32" s="8"/>
      <c r="E32" s="8"/>
      <c r="F32" s="8"/>
      <c r="G32" s="8"/>
      <c r="H32" s="8"/>
      <c r="I32" s="8"/>
    </row>
    <row r="33" spans="3:16" ht="30" customHeight="1" x14ac:dyDescent="0.35">
      <c r="C33" s="9" t="s">
        <v>75</v>
      </c>
      <c r="D33" s="8"/>
      <c r="E33" s="8"/>
      <c r="F33" s="8"/>
      <c r="G33" s="8"/>
      <c r="H33" s="8"/>
      <c r="I33" s="8"/>
    </row>
    <row r="34" spans="3:16" ht="30" customHeight="1" x14ac:dyDescent="0.35">
      <c r="C34" s="7" t="s">
        <v>76</v>
      </c>
      <c r="D34" s="53">
        <f>'Data-Income Statement'!C27</f>
        <v>1.82</v>
      </c>
      <c r="E34" s="53">
        <f>'Data-Income Statement'!D27</f>
        <v>2.19</v>
      </c>
      <c r="F34" s="53">
        <f>'Data-Income Statement'!E27</f>
        <v>2.77</v>
      </c>
      <c r="G34" s="53">
        <f>'Data-Income Statement'!F27</f>
        <v>3.57</v>
      </c>
      <c r="H34" s="53">
        <f>'Data-Income Statement'!G27</f>
        <v>4.18</v>
      </c>
      <c r="I34" s="53">
        <f>'Data-Income Statement'!H27</f>
        <v>4.75</v>
      </c>
    </row>
    <row r="35" spans="3:16" ht="30" customHeight="1" x14ac:dyDescent="0.35">
      <c r="C35" s="7" t="s">
        <v>77</v>
      </c>
      <c r="D35" s="53">
        <f>'Data-Income Statement'!C28</f>
        <v>1.81</v>
      </c>
      <c r="E35" s="53">
        <f>'Data-Income Statement'!D28</f>
        <v>2.1800000000000002</v>
      </c>
      <c r="F35" s="53">
        <f>'Data-Income Statement'!E28</f>
        <v>2.76</v>
      </c>
      <c r="G35" s="53">
        <f>'Data-Income Statement'!F28</f>
        <v>3.56</v>
      </c>
      <c r="H35" s="53">
        <f>'Data-Income Statement'!G28</f>
        <v>4.16</v>
      </c>
      <c r="I35" s="53">
        <f>'Data-Income Statement'!H28</f>
        <v>4.7300000000000004</v>
      </c>
    </row>
    <row r="36" spans="3:16" ht="30" customHeight="1" x14ac:dyDescent="0.35">
      <c r="C36" s="7" t="s">
        <v>78</v>
      </c>
      <c r="D36" s="54">
        <f>'Data-Income Statement'!C29</f>
        <v>310738</v>
      </c>
      <c r="E36" s="54">
        <f>'Data-Income Statement'!D29</f>
        <v>302963</v>
      </c>
      <c r="F36" s="54">
        <f>'Data-Income Statement'!E29</f>
        <v>289412</v>
      </c>
      <c r="G36" s="54">
        <f>'Data-Income Statement'!F29</f>
        <v>283074</v>
      </c>
      <c r="H36" s="54">
        <f>'Data-Income Statement'!G29</f>
        <v>279825</v>
      </c>
      <c r="I36" s="54">
        <f>'Data-Income Statement'!H29</f>
        <v>275611</v>
      </c>
    </row>
    <row r="37" spans="3:16" ht="30" customHeight="1" x14ac:dyDescent="0.35">
      <c r="C37" s="7" t="s">
        <v>79</v>
      </c>
      <c r="D37" s="54">
        <f>'Data-Income Statement'!C30</f>
        <v>312455</v>
      </c>
      <c r="E37" s="54">
        <f>'Data-Income Statement'!D30</f>
        <v>304416</v>
      </c>
      <c r="F37" s="54">
        <f>'Data-Income Statement'!E30</f>
        <v>291005</v>
      </c>
      <c r="G37" s="54">
        <f>'Data-Income Statement'!F30</f>
        <v>284168</v>
      </c>
      <c r="H37" s="54">
        <f>'Data-Income Statement'!G30</f>
        <v>280819</v>
      </c>
      <c r="I37" s="54">
        <f>'Data-Income Statement'!H30</f>
        <v>276684</v>
      </c>
    </row>
    <row r="38" spans="3:16" x14ac:dyDescent="0.35">
      <c r="K38" s="4"/>
      <c r="L38" s="4"/>
      <c r="M38" s="4"/>
      <c r="N38" s="4"/>
      <c r="O38" s="4"/>
      <c r="P38" s="4"/>
    </row>
  </sheetData>
  <mergeCells count="3">
    <mergeCell ref="C2:I2"/>
    <mergeCell ref="C3:I3"/>
    <mergeCell ref="C4:I4"/>
  </mergeCells>
  <phoneticPr fontId="3" type="noConversion"/>
  <conditionalFormatting sqref="F38">
    <cfRule type="cellIs" dxfId="1" priority="1" operator="equal">
      <formula>"CHECK"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B8A0-103A-4D42-BD90-2C9405A23939}">
  <sheetPr>
    <tabColor theme="9" tint="0.39997558519241921"/>
  </sheetPr>
  <dimension ref="C2:P64"/>
  <sheetViews>
    <sheetView showGridLines="0" workbookViewId="0">
      <pane xSplit="3" ySplit="6" topLeftCell="D24" activePane="bottomRight" state="frozen"/>
      <selection pane="topRight" activeCell="D1" sqref="D1"/>
      <selection pane="bottomLeft" activeCell="A7" sqref="A7"/>
      <selection pane="bottomRight" activeCell="D8" sqref="D8"/>
    </sheetView>
  </sheetViews>
  <sheetFormatPr defaultColWidth="8.7265625" defaultRowHeight="14.5" x14ac:dyDescent="0.35"/>
  <cols>
    <col min="1" max="2" width="2.81640625" customWidth="1"/>
    <col min="3" max="3" width="52" customWidth="1"/>
    <col min="4" max="5" width="15" customWidth="1"/>
    <col min="6" max="6" width="13.26953125" customWidth="1"/>
    <col min="7" max="8" width="11.54296875" customWidth="1"/>
    <col min="9" max="9" width="13.26953125" customWidth="1"/>
    <col min="11" max="12" width="14.26953125" bestFit="1" customWidth="1"/>
    <col min="13" max="13" width="12.453125" customWidth="1"/>
    <col min="14" max="14" width="11.7265625" customWidth="1"/>
    <col min="15" max="15" width="11.26953125" customWidth="1"/>
    <col min="16" max="16" width="13.453125" customWidth="1"/>
  </cols>
  <sheetData>
    <row r="2" spans="3:9" ht="16.5" x14ac:dyDescent="0.35">
      <c r="C2" s="145" t="s">
        <v>49</v>
      </c>
      <c r="D2" s="145"/>
      <c r="E2" s="145"/>
      <c r="F2" s="145"/>
      <c r="G2" s="145"/>
      <c r="H2" s="145"/>
      <c r="I2" s="145"/>
    </row>
    <row r="3" spans="3:9" x14ac:dyDescent="0.35">
      <c r="C3" s="146" t="s">
        <v>131</v>
      </c>
      <c r="D3" s="146"/>
      <c r="E3" s="146"/>
      <c r="F3" s="146"/>
      <c r="G3" s="146"/>
      <c r="H3" s="146"/>
      <c r="I3" s="146"/>
    </row>
    <row r="4" spans="3:9" ht="15.5" customHeight="1" x14ac:dyDescent="0.35">
      <c r="C4" s="147" t="s">
        <v>50</v>
      </c>
      <c r="D4" s="147"/>
      <c r="E4" s="147"/>
      <c r="F4" s="147"/>
      <c r="G4" s="147"/>
      <c r="H4" s="147"/>
      <c r="I4" s="147"/>
    </row>
    <row r="6" spans="3:9" ht="30" customHeight="1" x14ac:dyDescent="0.35">
      <c r="C6" s="10" t="s">
        <v>129</v>
      </c>
      <c r="D6" s="47" t="s">
        <v>48</v>
      </c>
      <c r="E6" s="47" t="s">
        <v>47</v>
      </c>
      <c r="F6" s="47" t="s">
        <v>43</v>
      </c>
      <c r="G6" s="47" t="s">
        <v>42</v>
      </c>
      <c r="H6" s="47" t="s">
        <v>45</v>
      </c>
      <c r="I6" s="47" t="s">
        <v>44</v>
      </c>
    </row>
    <row r="7" spans="3:9" ht="30" customHeight="1" x14ac:dyDescent="0.35">
      <c r="C7" s="42" t="str">
        <f>'Data-Cash Flow Statement'!B2</f>
        <v>Operating activities</v>
      </c>
      <c r="D7" s="42"/>
      <c r="E7" s="42"/>
      <c r="F7" s="42"/>
      <c r="G7" s="42"/>
      <c r="H7" s="42"/>
      <c r="I7" s="42"/>
    </row>
    <row r="8" spans="3:9" ht="30" customHeight="1" x14ac:dyDescent="0.35">
      <c r="C8" s="127" t="str">
        <f>'Data-Cash Flow Statement'!B3</f>
        <v>Net earnings</v>
      </c>
      <c r="D8" s="37">
        <f>'Data-Cash Flow Statement'!C3</f>
        <v>564348</v>
      </c>
      <c r="E8" s="37">
        <f>'Data-Cash Flow Statement'!D3</f>
        <v>663169</v>
      </c>
      <c r="F8" s="37">
        <f>'Data-Cash Flow Statement'!E3</f>
        <v>801863</v>
      </c>
      <c r="G8" s="37">
        <f>'Data-Cash Flow Statement'!F3</f>
        <v>1010460</v>
      </c>
      <c r="H8" s="37">
        <f>'Data-Cash Flow Statement'!G3</f>
        <v>1168545</v>
      </c>
      <c r="I8" s="37">
        <f>'Data-Cash Flow Statement'!H3</f>
        <v>1309438</v>
      </c>
    </row>
    <row r="9" spans="3:9" ht="10" customHeight="1" x14ac:dyDescent="0.35">
      <c r="C9" s="7"/>
      <c r="D9" s="38"/>
      <c r="E9" s="38"/>
      <c r="F9" s="38"/>
      <c r="G9" s="38"/>
      <c r="H9" s="38"/>
      <c r="I9" s="38"/>
    </row>
    <row r="10" spans="3:9" ht="30" customHeight="1" x14ac:dyDescent="0.35">
      <c r="C10" s="39" t="str">
        <f>'Data-Cash Flow Statement'!B4</f>
        <v>Adjustments to reconcile net earnings to net cash generated from operating activities:</v>
      </c>
      <c r="D10" s="39"/>
      <c r="E10" s="39"/>
      <c r="F10" s="39"/>
      <c r="G10" s="39"/>
      <c r="H10" s="39"/>
      <c r="I10" s="39"/>
    </row>
    <row r="11" spans="3:9" ht="30" customHeight="1" x14ac:dyDescent="0.35">
      <c r="C11" s="127" t="str">
        <f>'Data-Cash Flow Statement'!B5</f>
        <v>Depreciation of PP&amp;E, ROU assets and amortization of intangible assets</v>
      </c>
      <c r="D11" s="37">
        <f>'Data-Cash Flow Statement'!C5</f>
        <v>269633</v>
      </c>
      <c r="E11" s="37">
        <f>'Data-Cash Flow Statement'!D5</f>
        <v>297960</v>
      </c>
      <c r="F11" s="37">
        <f>'Data-Cash Flow Statement'!E5</f>
        <v>331792</v>
      </c>
      <c r="G11" s="37">
        <f>'Data-Cash Flow Statement'!F5</f>
        <v>365445</v>
      </c>
      <c r="H11" s="37">
        <f>'Data-Cash Flow Statement'!G5</f>
        <v>411151</v>
      </c>
      <c r="I11" s="37">
        <f>'Data-Cash Flow Statement'!H5</f>
        <v>460019</v>
      </c>
    </row>
    <row r="12" spans="3:9" ht="30" customHeight="1" x14ac:dyDescent="0.35">
      <c r="C12" s="127" t="str">
        <f>'Data-Cash Flow Statement'!B6</f>
        <v>Amortization of debt issue costs</v>
      </c>
      <c r="D12" s="37">
        <f>'Data-Cash Flow Statement'!C6</f>
        <v>2673</v>
      </c>
      <c r="E12" s="37">
        <f>'Data-Cash Flow Statement'!D6</f>
        <v>2316</v>
      </c>
      <c r="F12" s="37">
        <f>'Data-Cash Flow Statement'!E6</f>
        <v>0</v>
      </c>
      <c r="G12" s="37">
        <f>'Data-Cash Flow Statement'!F6</f>
        <v>0</v>
      </c>
      <c r="H12" s="37">
        <f>'Data-Cash Flow Statement'!G6</f>
        <v>0</v>
      </c>
      <c r="I12" s="37">
        <f>'Data-Cash Flow Statement'!H6</f>
        <v>0</v>
      </c>
    </row>
    <row r="13" spans="3:9" ht="30" customHeight="1" x14ac:dyDescent="0.35">
      <c r="C13" s="127" t="str">
        <f>'Data-Cash Flow Statement'!B7</f>
        <v>Amortization of net gains on bond lock and bond forward contracts</v>
      </c>
      <c r="D13" s="37">
        <f>'Data-Cash Flow Statement'!C7</f>
        <v>-354</v>
      </c>
      <c r="E13" s="37">
        <f>'Data-Cash Flow Statement'!D7</f>
        <v>-435</v>
      </c>
      <c r="F13" s="37">
        <f>'Data-Cash Flow Statement'!E7</f>
        <v>0</v>
      </c>
      <c r="G13" s="37">
        <f>'Data-Cash Flow Statement'!F7</f>
        <v>0</v>
      </c>
      <c r="H13" s="37">
        <f>'Data-Cash Flow Statement'!G7</f>
        <v>0</v>
      </c>
      <c r="I13" s="37">
        <f>'Data-Cash Flow Statement'!H7</f>
        <v>0</v>
      </c>
    </row>
    <row r="14" spans="3:9" ht="30" customHeight="1" x14ac:dyDescent="0.35">
      <c r="C14" s="127" t="str">
        <f>'Data-Cash Flow Statement'!B8</f>
        <v>Share-based compensation</v>
      </c>
      <c r="D14" s="37">
        <f>'Data-Cash Flow Statement'!C8</f>
        <v>6240</v>
      </c>
      <c r="E14" s="37">
        <f>'Data-Cash Flow Statement'!D8</f>
        <v>8617</v>
      </c>
      <c r="F14" s="37">
        <f>'Data-Cash Flow Statement'!E8</f>
        <v>14187</v>
      </c>
      <c r="G14" s="37">
        <f>'Data-Cash Flow Statement'!F8</f>
        <v>13102</v>
      </c>
      <c r="H14" s="37">
        <f>'Data-Cash Flow Statement'!G8</f>
        <v>15507</v>
      </c>
      <c r="I14" s="37">
        <f>'Data-Cash Flow Statement'!H8</f>
        <v>16023</v>
      </c>
    </row>
    <row r="15" spans="3:9" ht="30" customHeight="1" x14ac:dyDescent="0.35">
      <c r="C15" s="127" t="str">
        <f>'Data-Cash Flow Statement'!B9</f>
        <v>Net financing costs</v>
      </c>
      <c r="D15" s="37">
        <f>'Data-Cash Flow Statement'!C9</f>
        <v>0</v>
      </c>
      <c r="E15" s="37">
        <f>'Data-Cash Flow Statement'!D9</f>
        <v>0</v>
      </c>
      <c r="F15" s="37">
        <f>'Data-Cash Flow Statement'!E9</f>
        <v>115394</v>
      </c>
      <c r="G15" s="37">
        <f>'Data-Cash Flow Statement'!F9</f>
        <v>144842</v>
      </c>
      <c r="H15" s="37">
        <f>'Data-Cash Flow Statement'!G9</f>
        <v>163782</v>
      </c>
      <c r="I15" s="37">
        <f>'Data-Cash Flow Statement'!H9</f>
        <v>184020</v>
      </c>
    </row>
    <row r="16" spans="3:9" ht="30" customHeight="1" x14ac:dyDescent="0.35">
      <c r="C16" s="127" t="str">
        <f>'Data-Cash Flow Statement'!B10</f>
        <v>Financing costs on short-term borrowings and long-term debt and realized gains (losses) on financial instruments</v>
      </c>
      <c r="D16" s="37">
        <f>'Data-Cash Flow Statement'!C10</f>
        <v>-816</v>
      </c>
      <c r="E16" s="37">
        <f>'Data-Cash Flow Statement'!D10</f>
        <v>352</v>
      </c>
      <c r="F16" s="37">
        <f>'Data-Cash Flow Statement'!E10</f>
        <v>0</v>
      </c>
      <c r="G16" s="37">
        <f>'Data-Cash Flow Statement'!F10</f>
        <v>0</v>
      </c>
      <c r="H16" s="37">
        <f>'Data-Cash Flow Statement'!G10</f>
        <v>0</v>
      </c>
      <c r="I16" s="37">
        <f>'Data-Cash Flow Statement'!H10</f>
        <v>0</v>
      </c>
    </row>
    <row r="17" spans="3:16" ht="30" customHeight="1" x14ac:dyDescent="0.35">
      <c r="C17" s="127" t="str">
        <f>'Data-Cash Flow Statement'!B11</f>
        <v>Deferred income taxes</v>
      </c>
      <c r="D17" s="37">
        <f>'Data-Cash Flow Statement'!C11</f>
        <v>15843</v>
      </c>
      <c r="E17" s="37">
        <f>'Data-Cash Flow Statement'!D11</f>
        <v>19529</v>
      </c>
      <c r="F17" s="37">
        <f>'Data-Cash Flow Statement'!E11</f>
        <v>-7488</v>
      </c>
      <c r="G17" s="37">
        <f>'Data-Cash Flow Statement'!F11</f>
        <v>-10237</v>
      </c>
      <c r="H17" s="37">
        <f>'Data-Cash Flow Statement'!G11</f>
        <v>-10618</v>
      </c>
      <c r="I17" s="37">
        <f>'Data-Cash Flow Statement'!H11</f>
        <v>-8834</v>
      </c>
    </row>
    <row r="18" spans="3:16" ht="30" customHeight="1" x14ac:dyDescent="0.35">
      <c r="C18" s="127" t="str">
        <f>'Data-Cash Flow Statement'!B12</f>
        <v>Gain on lease remeasurements</v>
      </c>
      <c r="D18" s="37">
        <f>'Data-Cash Flow Statement'!C12</f>
        <v>-4822</v>
      </c>
      <c r="E18" s="37">
        <f>'Data-Cash Flow Statement'!D12</f>
        <v>-2535</v>
      </c>
      <c r="F18" s="37">
        <f>'Data-Cash Flow Statement'!E12</f>
        <v>0</v>
      </c>
      <c r="G18" s="37">
        <f>'Data-Cash Flow Statement'!F12</f>
        <v>0</v>
      </c>
      <c r="H18" s="37">
        <f>'Data-Cash Flow Statement'!G12</f>
        <v>0</v>
      </c>
      <c r="I18" s="37">
        <f>'Data-Cash Flow Statement'!H12</f>
        <v>0</v>
      </c>
    </row>
    <row r="19" spans="3:16" ht="30" customHeight="1" x14ac:dyDescent="0.35">
      <c r="C19" s="127" t="str">
        <f>'Data-Cash Flow Statement'!B13</f>
        <v>Unrealized gain from derivative on equity-accounted investments</v>
      </c>
      <c r="D19" s="37">
        <f>'Data-Cash Flow Statement'!C13</f>
        <v>0</v>
      </c>
      <c r="E19" s="37">
        <f>'Data-Cash Flow Statement'!D13</f>
        <v>0</v>
      </c>
      <c r="F19" s="37">
        <f>'Data-Cash Flow Statement'!E13</f>
        <v>0</v>
      </c>
      <c r="G19" s="37">
        <f>'Data-Cash Flow Statement'!F13</f>
        <v>0</v>
      </c>
      <c r="H19" s="37">
        <f>'Data-Cash Flow Statement'!G13</f>
        <v>0</v>
      </c>
      <c r="I19" s="37">
        <f>'Data-Cash Flow Statement'!H13</f>
        <v>-10348</v>
      </c>
    </row>
    <row r="20" spans="3:16" ht="30" customHeight="1" x14ac:dyDescent="0.35">
      <c r="C20" s="127" t="str">
        <f>'Data-Cash Flow Statement'!B14</f>
        <v>Share of net earnings of equity-accounted investments</v>
      </c>
      <c r="D20" s="37">
        <f>'Data-Cash Flow Statement'!C14</f>
        <v>-19654</v>
      </c>
      <c r="E20" s="37">
        <f>'Data-Cash Flow Statement'!D14</f>
        <v>-33184</v>
      </c>
      <c r="F20" s="37">
        <f>'Data-Cash Flow Statement'!E14</f>
        <v>-45399</v>
      </c>
      <c r="G20" s="37">
        <f>'Data-Cash Flow Statement'!F14</f>
        <v>-75293</v>
      </c>
      <c r="H20" s="37">
        <f>'Data-Cash Flow Statement'!G14</f>
        <v>-129905</v>
      </c>
      <c r="I20" s="37">
        <f>'Data-Cash Flow Statement'!H14</f>
        <v>-191536</v>
      </c>
    </row>
    <row r="21" spans="3:16" ht="30" customHeight="1" x14ac:dyDescent="0.35">
      <c r="C21" s="127" t="str">
        <f>'Data-Cash Flow Statement'!B15</f>
        <v>Interest received</v>
      </c>
      <c r="D21" s="37">
        <f>'Data-Cash Flow Statement'!C15</f>
        <v>0</v>
      </c>
      <c r="E21" s="37">
        <f>'Data-Cash Flow Statement'!D15</f>
        <v>0</v>
      </c>
      <c r="F21" s="37">
        <f>'Data-Cash Flow Statement'!E15</f>
        <v>9218</v>
      </c>
      <c r="G21" s="37">
        <f>'Data-Cash Flow Statement'!F15</f>
        <v>27580</v>
      </c>
      <c r="H21" s="37">
        <f>'Data-Cash Flow Statement'!G15</f>
        <v>29414</v>
      </c>
      <c r="I21" s="37">
        <f>'Data-Cash Flow Statement'!H15</f>
        <v>25562</v>
      </c>
    </row>
    <row r="22" spans="3:16" ht="30" customHeight="1" x14ac:dyDescent="0.35">
      <c r="C22" s="127" t="str">
        <f>'Data-Cash Flow Statement'!B16</f>
        <v>Other</v>
      </c>
      <c r="D22" s="37">
        <f>'Data-Cash Flow Statement'!C16</f>
        <v>0</v>
      </c>
      <c r="E22" s="37">
        <f>'Data-Cash Flow Statement'!D16</f>
        <v>0</v>
      </c>
      <c r="F22" s="37">
        <f>'Data-Cash Flow Statement'!E16</f>
        <v>694</v>
      </c>
      <c r="G22" s="37">
        <f>'Data-Cash Flow Statement'!F16</f>
        <v>2511</v>
      </c>
      <c r="H22" s="37">
        <f>'Data-Cash Flow Statement'!G16</f>
        <v>3015</v>
      </c>
      <c r="I22" s="37">
        <f>'Data-Cash Flow Statement'!H16</f>
        <v>32686</v>
      </c>
    </row>
    <row r="23" spans="3:16" ht="30" customHeight="1" x14ac:dyDescent="0.35">
      <c r="C23" s="40" t="str">
        <f>'Data-Cash Flow Statement'!B17</f>
        <v>Cash generated from operations before working capital changes</v>
      </c>
      <c r="D23" s="41">
        <f>SUM(D11:D22)+D8</f>
        <v>833091</v>
      </c>
      <c r="E23" s="41">
        <f t="shared" ref="E23:I23" si="0">SUM(E11:E22)+E8</f>
        <v>955789</v>
      </c>
      <c r="F23" s="41">
        <f t="shared" si="0"/>
        <v>1220261</v>
      </c>
      <c r="G23" s="41">
        <f t="shared" si="0"/>
        <v>1478410</v>
      </c>
      <c r="H23" s="41">
        <f t="shared" si="0"/>
        <v>1650891</v>
      </c>
      <c r="I23" s="41">
        <f t="shared" si="0"/>
        <v>1817030</v>
      </c>
    </row>
    <row r="24" spans="3:16" ht="10" customHeight="1" x14ac:dyDescent="0.35">
      <c r="C24" s="7"/>
      <c r="D24" s="38"/>
      <c r="E24" s="38"/>
      <c r="F24" s="38"/>
      <c r="G24" s="38"/>
      <c r="H24" s="38"/>
      <c r="I24" s="38"/>
    </row>
    <row r="25" spans="3:16" ht="30" customHeight="1" x14ac:dyDescent="0.35">
      <c r="C25" s="127" t="str">
        <f>'Data-Cash Flow Statement'!B18</f>
        <v>Changes in non-cash working capital components</v>
      </c>
      <c r="D25" s="37">
        <f>'Data-Cash Flow Statement'!C18</f>
        <v>55531</v>
      </c>
      <c r="E25" s="37">
        <f>'Data-Cash Flow Statement'!D18</f>
        <v>110094</v>
      </c>
      <c r="F25" s="37">
        <f>'Data-Cash Flow Statement'!E18</f>
        <v>-351218</v>
      </c>
      <c r="G25" s="37">
        <f>'Data-Cash Flow Statement'!F18</f>
        <v>52544</v>
      </c>
      <c r="H25" s="37">
        <f>'Data-Cash Flow Statement'!G18</f>
        <v>-6752</v>
      </c>
      <c r="I25" s="37">
        <f>'Data-Cash Flow Statement'!H18</f>
        <v>-55874</v>
      </c>
    </row>
    <row r="26" spans="3:16" ht="30" customHeight="1" x14ac:dyDescent="0.35">
      <c r="C26" s="43" t="str">
        <f>'Data-Cash Flow Statement'!B19</f>
        <v>Net cash generated from operating activities</v>
      </c>
      <c r="D26" s="44">
        <f>D23+D25</f>
        <v>888622</v>
      </c>
      <c r="E26" s="44">
        <f t="shared" ref="E26:I26" si="1">E23+E25</f>
        <v>1065883</v>
      </c>
      <c r="F26" s="44">
        <f t="shared" si="1"/>
        <v>869043</v>
      </c>
      <c r="G26" s="44">
        <f t="shared" si="1"/>
        <v>1530954</v>
      </c>
      <c r="H26" s="44">
        <f t="shared" si="1"/>
        <v>1644139</v>
      </c>
      <c r="I26" s="44">
        <f t="shared" si="1"/>
        <v>1761156</v>
      </c>
    </row>
    <row r="27" spans="3:16" ht="10" customHeight="1" x14ac:dyDescent="0.35">
      <c r="C27" s="7"/>
      <c r="D27" s="38"/>
      <c r="E27" s="38"/>
      <c r="F27" s="38"/>
      <c r="G27" s="38"/>
      <c r="H27" s="38"/>
      <c r="I27" s="38"/>
    </row>
    <row r="28" spans="3:16" ht="30" customHeight="1" x14ac:dyDescent="0.35">
      <c r="C28" s="45" t="str">
        <f>'Data-Cash Flow Statement'!B20</f>
        <v>Investing activities</v>
      </c>
      <c r="D28" s="46"/>
      <c r="E28" s="46"/>
      <c r="F28" s="46"/>
      <c r="G28" s="46"/>
      <c r="H28" s="46"/>
      <c r="I28" s="46"/>
    </row>
    <row r="29" spans="3:16" ht="30" customHeight="1" x14ac:dyDescent="0.35">
      <c r="C29" s="127" t="str">
        <f>'Data-Cash Flow Statement'!B21</f>
        <v>Acquisition of a business, net of cash acquired</v>
      </c>
      <c r="D29" s="37">
        <f>'Data-Cash Flow Statement'!C21</f>
        <v>0</v>
      </c>
      <c r="E29" s="37">
        <f>'Data-Cash Flow Statement'!D21</f>
        <v>0</v>
      </c>
      <c r="F29" s="37">
        <f>'Data-Cash Flow Statement'!E21</f>
        <v>0</v>
      </c>
      <c r="G29" s="37">
        <f>'Data-Cash Flow Statement'!F21</f>
        <v>0</v>
      </c>
      <c r="H29" s="37">
        <f>'Data-Cash Flow Statement'!G21</f>
        <v>0</v>
      </c>
      <c r="I29" s="37">
        <f>'Data-Cash Flow Statement'!H21</f>
        <v>-181831</v>
      </c>
    </row>
    <row r="30" spans="3:16" ht="30" customHeight="1" x14ac:dyDescent="0.35">
      <c r="C30" s="127" t="str">
        <f>'Data-Cash Flow Statement'!B22</f>
        <v>Addition to equity-accounted investments</v>
      </c>
      <c r="D30" s="37">
        <f>'Data-Cash Flow Statement'!C22</f>
        <v>-97281</v>
      </c>
      <c r="E30" s="37">
        <f>'Data-Cash Flow Statement'!D22</f>
        <v>0</v>
      </c>
      <c r="F30" s="37">
        <f>'Data-Cash Flow Statement'!E22</f>
        <v>0</v>
      </c>
      <c r="G30" s="37">
        <f>'Data-Cash Flow Statement'!F22</f>
        <v>0</v>
      </c>
      <c r="H30" s="37">
        <f>'Data-Cash Flow Statement'!G22</f>
        <v>-5402</v>
      </c>
      <c r="I30" s="37">
        <f>'Data-Cash Flow Statement'!H22</f>
        <v>-49960</v>
      </c>
    </row>
    <row r="31" spans="3:16" ht="30" customHeight="1" x14ac:dyDescent="0.35">
      <c r="C31" s="127" t="str">
        <f>'Data-Cash Flow Statement'!B23</f>
        <v>Distributions from equity-accounted investments</v>
      </c>
      <c r="D31" s="37">
        <f>'Data-Cash Flow Statement'!C23</f>
        <v>0</v>
      </c>
      <c r="E31" s="37">
        <f>'Data-Cash Flow Statement'!D23</f>
        <v>0</v>
      </c>
      <c r="F31" s="37">
        <f>'Data-Cash Flow Statement'!E23</f>
        <v>0</v>
      </c>
      <c r="G31" s="37">
        <f>'Data-Cash Flow Statement'!F23</f>
        <v>26960</v>
      </c>
      <c r="H31" s="37">
        <f>'Data-Cash Flow Statement'!G23</f>
        <v>27397</v>
      </c>
      <c r="I31" s="37">
        <f>'Data-Cash Flow Statement'!H23</f>
        <v>106554</v>
      </c>
      <c r="K31" s="2"/>
      <c r="L31" s="2"/>
      <c r="M31" s="2"/>
      <c r="N31" s="2"/>
      <c r="O31" s="2"/>
      <c r="P31" s="2"/>
    </row>
    <row r="32" spans="3:16" ht="30" customHeight="1" x14ac:dyDescent="0.35">
      <c r="C32" s="127" t="str">
        <f>'Data-Cash Flow Statement'!B24</f>
        <v>Additions to property, plant and equipment</v>
      </c>
      <c r="D32" s="37">
        <f>'Data-Cash Flow Statement'!C24</f>
        <v>-140040</v>
      </c>
      <c r="E32" s="37">
        <f>'Data-Cash Flow Statement'!D24</f>
        <v>-136772</v>
      </c>
      <c r="F32" s="37">
        <f>'Data-Cash Flow Statement'!E24</f>
        <v>-134049</v>
      </c>
      <c r="G32" s="37">
        <f>'Data-Cash Flow Statement'!F24</f>
        <v>-252673</v>
      </c>
      <c r="H32" s="37">
        <f>'Data-Cash Flow Statement'!G24</f>
        <v>-212828</v>
      </c>
      <c r="I32" s="37">
        <f>'Data-Cash Flow Statement'!H24</f>
        <v>-248747</v>
      </c>
      <c r="K32" s="2"/>
      <c r="L32" s="2"/>
      <c r="M32" s="2"/>
      <c r="N32" s="2"/>
      <c r="O32" s="2"/>
      <c r="P32" s="2"/>
    </row>
    <row r="33" spans="3:16" ht="30" customHeight="1" x14ac:dyDescent="0.35">
      <c r="C33" s="127" t="str">
        <f>'Data-Cash Flow Statement'!B25</f>
        <v>Additions to intangible assets</v>
      </c>
      <c r="D33" s="37">
        <f>'Data-Cash Flow Statement'!C25</f>
        <v>-27797</v>
      </c>
      <c r="E33" s="37">
        <f>'Data-Cash Flow Statement'!D25</f>
        <v>-22740</v>
      </c>
      <c r="F33" s="37">
        <f>'Data-Cash Flow Statement'!E25</f>
        <v>-22778</v>
      </c>
      <c r="G33" s="37">
        <f>'Data-Cash Flow Statement'!F25</f>
        <v>-26091</v>
      </c>
      <c r="H33" s="37">
        <f>'Data-Cash Flow Statement'!G25</f>
        <v>-30622</v>
      </c>
      <c r="I33" s="37">
        <f>'Data-Cash Flow Statement'!H25</f>
        <v>-24034</v>
      </c>
      <c r="K33" s="2"/>
      <c r="L33" s="2"/>
      <c r="M33" s="2"/>
      <c r="N33" s="2"/>
      <c r="O33" s="2"/>
      <c r="P33" s="2"/>
    </row>
    <row r="34" spans="3:16" ht="30" customHeight="1" x14ac:dyDescent="0.35">
      <c r="C34" s="127" t="str">
        <f>'Data-Cash Flow Statement'!B26</f>
        <v>Initial direct costs on right-of-use assets</v>
      </c>
      <c r="D34" s="37">
        <f>'Data-Cash Flow Statement'!C26</f>
        <v>0</v>
      </c>
      <c r="E34" s="37">
        <f>'Data-Cash Flow Statement'!D26</f>
        <v>0</v>
      </c>
      <c r="F34" s="37">
        <f>'Data-Cash Flow Statement'!E26</f>
        <v>0</v>
      </c>
      <c r="G34" s="37">
        <f>'Data-Cash Flow Statement'!F26</f>
        <v>0</v>
      </c>
      <c r="H34" s="37">
        <f>'Data-Cash Flow Statement'!G26</f>
        <v>0</v>
      </c>
      <c r="I34" s="37">
        <f>'Data-Cash Flow Statement'!H26</f>
        <v>-6554</v>
      </c>
    </row>
    <row r="35" spans="3:16" ht="30" customHeight="1" x14ac:dyDescent="0.35">
      <c r="C35" s="127" t="str">
        <f>'Data-Cash Flow Statement'!B27</f>
        <v>Proceeds from disposal of property, plant and equipment</v>
      </c>
      <c r="D35" s="37">
        <f>'Data-Cash Flow Statement'!C27</f>
        <v>593</v>
      </c>
      <c r="E35" s="37">
        <f>'Data-Cash Flow Statement'!D27</f>
        <v>839</v>
      </c>
      <c r="F35" s="37">
        <f>'Data-Cash Flow Statement'!E27</f>
        <v>278</v>
      </c>
      <c r="G35" s="37">
        <f>'Data-Cash Flow Statement'!F27</f>
        <v>938</v>
      </c>
      <c r="H35" s="37">
        <f>'Data-Cash Flow Statement'!G27</f>
        <v>736</v>
      </c>
      <c r="I35" s="37">
        <f>'Data-Cash Flow Statement'!H27</f>
        <v>1077</v>
      </c>
    </row>
    <row r="36" spans="3:16" ht="30" customHeight="1" x14ac:dyDescent="0.35">
      <c r="C36" s="43" t="str">
        <f>'Data-Cash Flow Statement'!B28</f>
        <v>Net cash used in investing activities</v>
      </c>
      <c r="D36" s="44">
        <f>'Data-Cash Flow Statement'!C28</f>
        <v>-264525</v>
      </c>
      <c r="E36" s="44">
        <f>'Data-Cash Flow Statement'!D28</f>
        <v>-158673</v>
      </c>
      <c r="F36" s="44">
        <f>'Data-Cash Flow Statement'!E28</f>
        <v>-156549</v>
      </c>
      <c r="G36" s="44">
        <f>'Data-Cash Flow Statement'!F28</f>
        <v>-250866</v>
      </c>
      <c r="H36" s="44">
        <f>'Data-Cash Flow Statement'!G28</f>
        <v>-220719</v>
      </c>
      <c r="I36" s="44">
        <f>'Data-Cash Flow Statement'!H28</f>
        <v>-403495</v>
      </c>
    </row>
    <row r="37" spans="3:16" ht="10" customHeight="1" x14ac:dyDescent="0.35">
      <c r="C37" s="7"/>
      <c r="D37" s="38"/>
      <c r="E37" s="38"/>
      <c r="F37" s="38"/>
      <c r="G37" s="38"/>
      <c r="H37" s="38"/>
      <c r="I37" s="38"/>
    </row>
    <row r="38" spans="3:16" ht="30" customHeight="1" x14ac:dyDescent="0.35">
      <c r="C38" s="45" t="str">
        <f>'Data-Cash Flow Statement'!B29</f>
        <v>Financing activities</v>
      </c>
      <c r="D38" s="46"/>
      <c r="E38" s="46"/>
      <c r="F38" s="46"/>
      <c r="G38" s="46"/>
      <c r="H38" s="46"/>
      <c r="I38" s="46"/>
    </row>
    <row r="39" spans="3:16" ht="30" customHeight="1" x14ac:dyDescent="0.35">
      <c r="C39" s="127" t="str">
        <f>'Data-Cash Flow Statement'!B30</f>
        <v>Proceeds from long-term debt issued</v>
      </c>
      <c r="D39" s="37">
        <f>'Data-Cash Flow Statement'!C30</f>
        <v>0</v>
      </c>
      <c r="E39" s="37">
        <f>'Data-Cash Flow Statement'!D30</f>
        <v>0</v>
      </c>
      <c r="F39" s="37">
        <f>'Data-Cash Flow Statement'!E30</f>
        <v>700000</v>
      </c>
      <c r="G39" s="37">
        <f>'Data-Cash Flow Statement'!F30</f>
        <v>500000</v>
      </c>
      <c r="H39" s="37">
        <f>'Data-Cash Flow Statement'!G30</f>
        <v>0</v>
      </c>
      <c r="I39" s="37">
        <f>'Data-Cash Flow Statement'!H30</f>
        <v>600000</v>
      </c>
    </row>
    <row r="40" spans="3:16" ht="30" customHeight="1" x14ac:dyDescent="0.35">
      <c r="C40" s="127" t="str">
        <f>'Data-Cash Flow Statement'!B31</f>
        <v>Proceeds from long-term debt issued (1.505% Fixed Rate Notes)</v>
      </c>
      <c r="D40" s="37">
        <f>'Data-Cash Flow Statement'!C31</f>
        <v>300000</v>
      </c>
      <c r="E40" s="37">
        <f>'Data-Cash Flow Statement'!D31</f>
        <v>0</v>
      </c>
      <c r="F40" s="37">
        <f>'Data-Cash Flow Statement'!E31</f>
        <v>0</v>
      </c>
      <c r="G40" s="37">
        <f>'Data-Cash Flow Statement'!F31</f>
        <v>0</v>
      </c>
      <c r="H40" s="37">
        <f>'Data-Cash Flow Statement'!G31</f>
        <v>0</v>
      </c>
      <c r="I40" s="37">
        <f>'Data-Cash Flow Statement'!H31</f>
        <v>0</v>
      </c>
    </row>
    <row r="41" spans="3:16" ht="30" customHeight="1" x14ac:dyDescent="0.35">
      <c r="C41" s="127" t="str">
        <f>'Data-Cash Flow Statement'!B32</f>
        <v>Proceeds from long-term debt issued (1.871% Fixed Rate Notes)</v>
      </c>
      <c r="D41" s="37">
        <f>'Data-Cash Flow Statement'!C32</f>
        <v>0</v>
      </c>
      <c r="E41" s="37">
        <f>'Data-Cash Flow Statement'!D32</f>
        <v>375000</v>
      </c>
      <c r="F41" s="37">
        <f>'Data-Cash Flow Statement'!E32</f>
        <v>0</v>
      </c>
      <c r="G41" s="37">
        <f>'Data-Cash Flow Statement'!F32</f>
        <v>0</v>
      </c>
      <c r="H41" s="37">
        <f>'Data-Cash Flow Statement'!G32</f>
        <v>0</v>
      </c>
      <c r="I41" s="37">
        <f>'Data-Cash Flow Statement'!H32</f>
        <v>0</v>
      </c>
    </row>
    <row r="42" spans="3:16" ht="30" customHeight="1" x14ac:dyDescent="0.35">
      <c r="C42" s="127" t="str">
        <f>'Data-Cash Flow Statement'!B33</f>
        <v>Proceeds from long-term debt issued (2.443% Fixed Rate Notes)</v>
      </c>
      <c r="D42" s="37">
        <f>'Data-Cash Flow Statement'!C33</f>
        <v>0</v>
      </c>
      <c r="E42" s="37">
        <f>'Data-Cash Flow Statement'!D33</f>
        <v>375000</v>
      </c>
      <c r="F42" s="37">
        <f>'Data-Cash Flow Statement'!E33</f>
        <v>0</v>
      </c>
      <c r="G42" s="37">
        <f>'Data-Cash Flow Statement'!F33</f>
        <v>0</v>
      </c>
      <c r="H42" s="37">
        <f>'Data-Cash Flow Statement'!G33</f>
        <v>0</v>
      </c>
      <c r="I42" s="37">
        <f>'Data-Cash Flow Statement'!H33</f>
        <v>0</v>
      </c>
      <c r="K42" s="4"/>
      <c r="L42" s="4"/>
      <c r="M42" s="4"/>
      <c r="N42" s="4"/>
      <c r="O42" s="4"/>
      <c r="P42" s="4"/>
    </row>
    <row r="43" spans="3:16" ht="30" customHeight="1" x14ac:dyDescent="0.35">
      <c r="C43" s="127" t="str">
        <f>'Data-Cash Flow Statement'!B34</f>
        <v>Repayment of long-term debt</v>
      </c>
      <c r="D43" s="37">
        <f>'Data-Cash Flow Statement'!C34</f>
        <v>0</v>
      </c>
      <c r="E43" s="37">
        <f>'Data-Cash Flow Statement'!D34</f>
        <v>0</v>
      </c>
      <c r="F43" s="37">
        <f>'Data-Cash Flow Statement'!E34</f>
        <v>-250000</v>
      </c>
      <c r="G43" s="37">
        <f>'Data-Cash Flow Statement'!F34</f>
        <v>-500000</v>
      </c>
      <c r="H43" s="37">
        <f>'Data-Cash Flow Statement'!G34</f>
        <v>0</v>
      </c>
      <c r="I43" s="37">
        <f>'Data-Cash Flow Statement'!H34</f>
        <v>-250000</v>
      </c>
    </row>
    <row r="44" spans="3:16" ht="30" customHeight="1" x14ac:dyDescent="0.35">
      <c r="C44" s="127" t="str">
        <f>'Data-Cash Flow Statement'!B35</f>
        <v>Repayment of the Series 2 Floating Rate Notes or the Series 3 Floating Rate Notes (as applicable)</v>
      </c>
      <c r="D44" s="37">
        <f>'Data-Cash Flow Statement'!C35</f>
        <v>-300000</v>
      </c>
      <c r="E44" s="37">
        <f>'Data-Cash Flow Statement'!D35</f>
        <v>-300000</v>
      </c>
      <c r="F44" s="37">
        <f>'Data-Cash Flow Statement'!E35</f>
        <v>0</v>
      </c>
      <c r="G44" s="37">
        <f>'Data-Cash Flow Statement'!F35</f>
        <v>0</v>
      </c>
      <c r="H44" s="37">
        <f>'Data-Cash Flow Statement'!G35</f>
        <v>0</v>
      </c>
      <c r="I44" s="37">
        <f>'Data-Cash Flow Statement'!H35</f>
        <v>0</v>
      </c>
    </row>
    <row r="45" spans="3:16" ht="30" customHeight="1" x14ac:dyDescent="0.35">
      <c r="C45" s="127" t="str">
        <f>'Data-Cash Flow Statement'!B36</f>
        <v>Repayment of the 2.337% Fixed Rate Notes</v>
      </c>
      <c r="D45" s="37">
        <f>'Data-Cash Flow Statement'!C36</f>
        <v>0</v>
      </c>
      <c r="E45" s="37">
        <f>'Data-Cash Flow Statement'!D36</f>
        <v>-525000</v>
      </c>
      <c r="F45" s="37">
        <f>'Data-Cash Flow Statement'!E36</f>
        <v>0</v>
      </c>
      <c r="G45" s="37">
        <f>'Data-Cash Flow Statement'!F36</f>
        <v>0</v>
      </c>
      <c r="H45" s="37">
        <f>'Data-Cash Flow Statement'!G36</f>
        <v>0</v>
      </c>
      <c r="I45" s="37">
        <f>'Data-Cash Flow Statement'!H36</f>
        <v>0</v>
      </c>
    </row>
    <row r="46" spans="3:16" ht="30" customHeight="1" x14ac:dyDescent="0.35">
      <c r="C46" s="127" t="str">
        <f>'Data-Cash Flow Statement'!B37</f>
        <v>Repayment of short-term borrowings</v>
      </c>
      <c r="D46" s="37">
        <f>'Data-Cash Flow Statement'!C37</f>
        <v>0</v>
      </c>
      <c r="E46" s="37">
        <f>'Data-Cash Flow Statement'!D37</f>
        <v>0</v>
      </c>
      <c r="F46" s="37">
        <f>'Data-Cash Flow Statement'!E37</f>
        <v>-88385</v>
      </c>
      <c r="G46" s="37">
        <f>'Data-Cash Flow Statement'!F37</f>
        <v>0</v>
      </c>
      <c r="H46" s="37">
        <f>'Data-Cash Flow Statement'!G37</f>
        <v>0</v>
      </c>
      <c r="I46" s="37">
        <f>'Data-Cash Flow Statement'!H37</f>
        <v>0</v>
      </c>
    </row>
    <row r="47" spans="3:16" ht="30" customHeight="1" x14ac:dyDescent="0.35">
      <c r="C47" s="127" t="str">
        <f>'Data-Cash Flow Statement'!B38</f>
        <v>Net proceeds from short-term borrowings</v>
      </c>
      <c r="D47" s="37">
        <f>'Data-Cash Flow Statement'!C38</f>
        <v>0</v>
      </c>
      <c r="E47" s="37">
        <f>'Data-Cash Flow Statement'!D38</f>
        <v>88381</v>
      </c>
      <c r="F47" s="37">
        <f>'Data-Cash Flow Statement'!E38</f>
        <v>0</v>
      </c>
      <c r="G47" s="37">
        <f>'Data-Cash Flow Statement'!F38</f>
        <v>0</v>
      </c>
      <c r="H47" s="37">
        <f>'Data-Cash Flow Statement'!G38</f>
        <v>0</v>
      </c>
      <c r="I47" s="37">
        <f>'Data-Cash Flow Statement'!H38</f>
        <v>0</v>
      </c>
    </row>
    <row r="48" spans="3:16" ht="30" customHeight="1" x14ac:dyDescent="0.35">
      <c r="C48" s="127" t="str">
        <f>'Data-Cash Flow Statement'!B39</f>
        <v>Interest paid on long-term debt, long-term financing arrangements and short-term borrowings</v>
      </c>
      <c r="D48" s="37">
        <f>'Data-Cash Flow Statement'!C39</f>
        <v>0</v>
      </c>
      <c r="E48" s="37">
        <f>'Data-Cash Flow Statement'!D39</f>
        <v>0</v>
      </c>
      <c r="F48" s="37">
        <f>'Data-Cash Flow Statement'!E39</f>
        <v>-64180</v>
      </c>
      <c r="G48" s="37">
        <f>'Data-Cash Flow Statement'!F39</f>
        <v>-100811</v>
      </c>
      <c r="H48" s="37">
        <f>'Data-Cash Flow Statement'!G39</f>
        <v>-108490</v>
      </c>
      <c r="I48" s="37">
        <f>'Data-Cash Flow Statement'!H39</f>
        <v>-114516</v>
      </c>
    </row>
    <row r="49" spans="3:9" ht="30" customHeight="1" x14ac:dyDescent="0.35">
      <c r="C49" s="127" t="str">
        <f>'Data-Cash Flow Statement'!B40</f>
        <v>Payment of debt issue costs</v>
      </c>
      <c r="D49" s="37">
        <f>'Data-Cash Flow Statement'!C40</f>
        <v>-2200</v>
      </c>
      <c r="E49" s="37">
        <f>'Data-Cash Flow Statement'!D40</f>
        <v>-4174</v>
      </c>
      <c r="F49" s="37">
        <f>'Data-Cash Flow Statement'!E40</f>
        <v>-3847</v>
      </c>
      <c r="G49" s="37">
        <f>'Data-Cash Flow Statement'!F40</f>
        <v>-2896</v>
      </c>
      <c r="H49" s="37">
        <f>'Data-Cash Flow Statement'!G40</f>
        <v>-480</v>
      </c>
      <c r="I49" s="37">
        <f>'Data-Cash Flow Statement'!H40</f>
        <v>-3584</v>
      </c>
    </row>
    <row r="50" spans="3:9" ht="30" customHeight="1" x14ac:dyDescent="0.35">
      <c r="C50" s="127" t="str">
        <f>'Data-Cash Flow Statement'!B41</f>
        <v>Proceeds on bond forward settlement</v>
      </c>
      <c r="D50" s="37">
        <f>'Data-Cash Flow Statement'!C41</f>
        <v>0</v>
      </c>
      <c r="E50" s="37">
        <f>'Data-Cash Flow Statement'!D41</f>
        <v>0</v>
      </c>
      <c r="F50" s="37">
        <f>'Data-Cash Flow Statement'!E41</f>
        <v>10416</v>
      </c>
      <c r="G50" s="37">
        <f>'Data-Cash Flow Statement'!F41</f>
        <v>13841</v>
      </c>
      <c r="H50" s="37">
        <f>'Data-Cash Flow Statement'!G41</f>
        <v>0</v>
      </c>
      <c r="I50" s="37">
        <f>'Data-Cash Flow Statement'!H41</f>
        <v>0</v>
      </c>
    </row>
    <row r="51" spans="3:9" ht="30" customHeight="1" x14ac:dyDescent="0.35">
      <c r="C51" s="127" t="str">
        <f>'Data-Cash Flow Statement'!B42</f>
        <v>Net payment of lease liabilities</v>
      </c>
      <c r="D51" s="37">
        <f>'Data-Cash Flow Statement'!C42</f>
        <v>-163804</v>
      </c>
      <c r="E51" s="37">
        <f>'Data-Cash Flow Statement'!D42</f>
        <v>-183285</v>
      </c>
      <c r="F51" s="37">
        <f>'Data-Cash Flow Statement'!E42</f>
        <v>-253566</v>
      </c>
      <c r="G51" s="37">
        <f>'Data-Cash Flow Statement'!F42</f>
        <v>-284836</v>
      </c>
      <c r="H51" s="37">
        <f>'Data-Cash Flow Statement'!G42</f>
        <v>-317829</v>
      </c>
      <c r="I51" s="37">
        <f>'Data-Cash Flow Statement'!H42</f>
        <v>-390333</v>
      </c>
    </row>
    <row r="52" spans="3:9" ht="30" customHeight="1" x14ac:dyDescent="0.35">
      <c r="C52" s="127" t="str">
        <f>'Data-Cash Flow Statement'!B43</f>
        <v>Issuance of common shares</v>
      </c>
      <c r="D52" s="37">
        <f>'Data-Cash Flow Statement'!C43</f>
        <v>32399</v>
      </c>
      <c r="E52" s="37">
        <f>'Data-Cash Flow Statement'!D43</f>
        <v>19164</v>
      </c>
      <c r="F52" s="37">
        <f>'Data-Cash Flow Statement'!E43</f>
        <v>19242</v>
      </c>
      <c r="G52" s="37">
        <f>'Data-Cash Flow Statement'!F43</f>
        <v>39268</v>
      </c>
      <c r="H52" s="37">
        <f>'Data-Cash Flow Statement'!G43</f>
        <v>19772</v>
      </c>
      <c r="I52" s="37">
        <f>'Data-Cash Flow Statement'!H43</f>
        <v>8840</v>
      </c>
    </row>
    <row r="53" spans="3:9" ht="30" customHeight="1" x14ac:dyDescent="0.35">
      <c r="C53" s="127" t="str">
        <f>'Data-Cash Flow Statement'!B44</f>
        <v>Dividends paid</v>
      </c>
      <c r="D53" s="37">
        <f>'Data-Cash Flow Statement'!C44</f>
        <v>-54770</v>
      </c>
      <c r="E53" s="37">
        <f>'Data-Cash Flow Statement'!D44</f>
        <v>-60464</v>
      </c>
      <c r="F53" s="37">
        <f>'Data-Cash Flow Statement'!E44</f>
        <v>-62975</v>
      </c>
      <c r="G53" s="37">
        <f>'Data-Cash Flow Statement'!F44</f>
        <v>-76131</v>
      </c>
      <c r="H53" s="37">
        <f>'Data-Cash Flow Statement'!G44</f>
        <v>-97244</v>
      </c>
      <c r="I53" s="37">
        <f>'Data-Cash Flow Statement'!H44</f>
        <v>-113196</v>
      </c>
    </row>
    <row r="54" spans="3:9" ht="30" customHeight="1" x14ac:dyDescent="0.35">
      <c r="C54" s="127" t="str">
        <f>'Data-Cash Flow Statement'!B45</f>
        <v>Repurchase and cancellation of common shares</v>
      </c>
      <c r="D54" s="37">
        <f>'Data-Cash Flow Statement'!C45</f>
        <v>-87042</v>
      </c>
      <c r="E54" s="37">
        <f>'Data-Cash Flow Statement'!D45</f>
        <v>-1059918</v>
      </c>
      <c r="F54" s="37">
        <f>'Data-Cash Flow Statement'!E45</f>
        <v>-688996</v>
      </c>
      <c r="G54" s="37">
        <f>'Data-Cash Flow Statement'!F45</f>
        <v>-655869</v>
      </c>
      <c r="H54" s="37">
        <f>'Data-Cash Flow Statement'!G45</f>
        <v>-1070712</v>
      </c>
      <c r="I54" s="37">
        <f>'Data-Cash Flow Statement'!H45</f>
        <v>-854414</v>
      </c>
    </row>
    <row r="55" spans="3:9" ht="30" customHeight="1" x14ac:dyDescent="0.35">
      <c r="C55" s="127" t="str">
        <f>'Data-Cash Flow Statement'!B46</f>
        <v>Repurchase of treasury shares, net of dividends</v>
      </c>
      <c r="D55" s="37">
        <f>'Data-Cash Flow Statement'!C46</f>
        <v>0</v>
      </c>
      <c r="E55" s="37">
        <f>'Data-Cash Flow Statement'!D46</f>
        <v>0</v>
      </c>
      <c r="F55" s="37">
        <f>'Data-Cash Flow Statement'!E46</f>
        <v>0</v>
      </c>
      <c r="G55" s="37">
        <f>'Data-Cash Flow Statement'!F46</f>
        <v>0</v>
      </c>
      <c r="H55" s="37">
        <f>'Data-Cash Flow Statement'!G46</f>
        <v>-20000</v>
      </c>
      <c r="I55" s="37">
        <f>'Data-Cash Flow Statement'!H46</f>
        <v>-9970</v>
      </c>
    </row>
    <row r="56" spans="3:9" ht="30" customHeight="1" x14ac:dyDescent="0.35">
      <c r="C56" s="127" t="str">
        <f>'Data-Cash Flow Statement'!B47</f>
        <v>Performance share units settlement</v>
      </c>
      <c r="D56" s="37">
        <f>'Data-Cash Flow Statement'!C47</f>
        <v>0</v>
      </c>
      <c r="E56" s="37">
        <f>'Data-Cash Flow Statement'!D47</f>
        <v>0</v>
      </c>
      <c r="F56" s="37">
        <f>'Data-Cash Flow Statement'!E47</f>
        <v>0</v>
      </c>
      <c r="G56" s="37">
        <f>'Data-Cash Flow Statement'!F47</f>
        <v>0</v>
      </c>
      <c r="H56" s="37">
        <f>'Data-Cash Flow Statement'!G47</f>
        <v>-19667</v>
      </c>
      <c r="I56" s="37">
        <f>'Data-Cash Flow Statement'!H47</f>
        <v>-21604</v>
      </c>
    </row>
    <row r="57" spans="3:9" ht="30" customHeight="1" x14ac:dyDescent="0.35">
      <c r="C57" s="43" t="str">
        <f>'Data-Cash Flow Statement'!B48</f>
        <v>Net cash used in financing activities</v>
      </c>
      <c r="D57" s="44">
        <f>'Data-Cash Flow Statement'!C48</f>
        <v>-275417</v>
      </c>
      <c r="E57" s="44">
        <f>'Data-Cash Flow Statement'!D48</f>
        <v>-1275296</v>
      </c>
      <c r="F57" s="44">
        <f>'Data-Cash Flow Statement'!E48</f>
        <v>-682291</v>
      </c>
      <c r="G57" s="44">
        <f>'Data-Cash Flow Statement'!F48</f>
        <v>-1067434</v>
      </c>
      <c r="H57" s="44">
        <f>'Data-Cash Flow Statement'!G48</f>
        <v>-1614650</v>
      </c>
      <c r="I57" s="44">
        <f>'Data-Cash Flow Statement'!H48</f>
        <v>-1148777</v>
      </c>
    </row>
    <row r="58" spans="3:9" ht="10" customHeight="1" x14ac:dyDescent="0.35">
      <c r="C58" s="7"/>
      <c r="D58" s="37"/>
      <c r="E58" s="37"/>
      <c r="F58" s="37"/>
      <c r="G58" s="37"/>
      <c r="H58" s="37"/>
      <c r="I58" s="37"/>
    </row>
    <row r="59" spans="3:9" ht="30" customHeight="1" x14ac:dyDescent="0.35">
      <c r="C59" s="49" t="str">
        <f>'Data-Cash Flow Statement'!B49</f>
        <v>Change in cash and cash equivalents</v>
      </c>
      <c r="D59" s="50">
        <f>D61-D60</f>
        <v>348680</v>
      </c>
      <c r="E59" s="50">
        <f t="shared" ref="E59:I59" si="2">E61-E60</f>
        <v>-368086</v>
      </c>
      <c r="F59" s="50">
        <f t="shared" si="2"/>
        <v>30203</v>
      </c>
      <c r="G59" s="50">
        <f t="shared" si="2"/>
        <v>212654</v>
      </c>
      <c r="H59" s="50">
        <f t="shared" si="2"/>
        <v>-191230</v>
      </c>
      <c r="I59" s="50">
        <f t="shared" si="2"/>
        <v>208884</v>
      </c>
    </row>
    <row r="60" spans="3:9" ht="30" customHeight="1" x14ac:dyDescent="0.35">
      <c r="C60" s="128" t="str">
        <f>'Data-Cash Flow Statement'!B50</f>
        <v>Cash and cash equivalents – beginning of year</v>
      </c>
      <c r="D60" s="48">
        <f>'Data-Cash Flow Statement'!C50</f>
        <v>90464</v>
      </c>
      <c r="E60" s="48">
        <f>'Data-Cash Flow Statement'!D50</f>
        <v>439144</v>
      </c>
      <c r="F60" s="48">
        <f>'Data-Cash Flow Statement'!E50</f>
        <v>71058</v>
      </c>
      <c r="G60" s="48">
        <f>'Data-Cash Flow Statement'!F50</f>
        <v>101261</v>
      </c>
      <c r="H60" s="48">
        <f>'Data-Cash Flow Statement'!G50</f>
        <v>313915</v>
      </c>
      <c r="I60" s="48">
        <f>'Data-Cash Flow Statement'!H50</f>
        <v>122685</v>
      </c>
    </row>
    <row r="61" spans="3:9" ht="30" customHeight="1" x14ac:dyDescent="0.35">
      <c r="C61" s="43" t="str">
        <f>'Data-Cash Flow Statement'!B51</f>
        <v>Cash and cash equivalents – end of year</v>
      </c>
      <c r="D61" s="44">
        <f>'Data-Cash Flow Statement'!C51</f>
        <v>439144</v>
      </c>
      <c r="E61" s="44">
        <f>'Data-Cash Flow Statement'!D51</f>
        <v>71058</v>
      </c>
      <c r="F61" s="44">
        <f>'Data-Cash Flow Statement'!E51</f>
        <v>101261</v>
      </c>
      <c r="G61" s="44">
        <f>'Data-Cash Flow Statement'!F51</f>
        <v>313915</v>
      </c>
      <c r="H61" s="44">
        <f>'Data-Cash Flow Statement'!G51</f>
        <v>122685</v>
      </c>
      <c r="I61" s="44">
        <f>'Data-Cash Flow Statement'!H51</f>
        <v>331569</v>
      </c>
    </row>
    <row r="62" spans="3:9" ht="10" customHeight="1" x14ac:dyDescent="0.35">
      <c r="C62" s="7"/>
      <c r="D62" s="38"/>
      <c r="E62" s="38"/>
      <c r="F62" s="38"/>
      <c r="G62" s="38"/>
      <c r="H62" s="38"/>
      <c r="I62" s="38"/>
    </row>
    <row r="63" spans="3:9" ht="30" customHeight="1" x14ac:dyDescent="0.35">
      <c r="C63" s="45" t="str">
        <f>'Data-Cash Flow Statement'!B52</f>
        <v>Supplemental information:</v>
      </c>
      <c r="D63" s="46"/>
      <c r="E63" s="46"/>
      <c r="F63" s="46"/>
      <c r="G63" s="46"/>
      <c r="H63" s="46"/>
      <c r="I63" s="46"/>
    </row>
    <row r="64" spans="3:9" ht="30" customHeight="1" x14ac:dyDescent="0.35">
      <c r="C64" s="127" t="str">
        <f>'Data-Cash Flow Statement'!B53</f>
        <v>Interest paid on lease liabilities</v>
      </c>
      <c r="D64" s="37">
        <f>'Data-Cash Flow Statement'!C53</f>
        <v>0</v>
      </c>
      <c r="E64" s="37">
        <f>'Data-Cash Flow Statement'!D53</f>
        <v>0</v>
      </c>
      <c r="F64" s="37">
        <f>'Data-Cash Flow Statement'!E53</f>
        <v>52307</v>
      </c>
      <c r="G64" s="37">
        <f>'Data-Cash Flow Statement'!F53</f>
        <v>66587</v>
      </c>
      <c r="H64" s="37">
        <f>'Data-Cash Flow Statement'!G53</f>
        <v>86730</v>
      </c>
      <c r="I64" s="37">
        <f>'Data-Cash Flow Statement'!H53</f>
        <v>99087</v>
      </c>
    </row>
  </sheetData>
  <mergeCells count="3">
    <mergeCell ref="C2:I2"/>
    <mergeCell ref="C3:I3"/>
    <mergeCell ref="C4:I4"/>
  </mergeCells>
  <phoneticPr fontId="3" type="noConversion"/>
  <conditionalFormatting sqref="F65">
    <cfRule type="cellIs" dxfId="0" priority="1" operator="equal">
      <formula>"CHECK"</formula>
    </cfRule>
  </conditionalFormatting>
  <pageMargins left="0.7" right="0.7" top="0.75" bottom="0.75" header="0.3" footer="0.3"/>
  <ignoredErrors>
    <ignoredError sqref="C10:C13 C63:C64 C14:I14 C15:I15 C16:C23 C25:I25 C26 C28 C29:I29 C30:C36 C57:C61 C38 C39:C56" calculatedColumn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4B34-F2CB-42FB-A286-2CFA8566077A}">
  <sheetPr>
    <tabColor theme="5" tint="-0.249977111117893"/>
  </sheetPr>
  <dimension ref="A1:H53"/>
  <sheetViews>
    <sheetView topLeftCell="A40" workbookViewId="0">
      <selection activeCell="C36" sqref="C36"/>
    </sheetView>
  </sheetViews>
  <sheetFormatPr defaultRowHeight="14.5" x14ac:dyDescent="0.35"/>
  <cols>
    <col min="1" max="1" width="7.7265625" bestFit="1" customWidth="1"/>
    <col min="2" max="2" width="80.7265625" bestFit="1" customWidth="1"/>
    <col min="3" max="8" width="9" bestFit="1" customWidth="1"/>
  </cols>
  <sheetData>
    <row r="1" spans="1:8" x14ac:dyDescent="0.35">
      <c r="A1" t="s">
        <v>41</v>
      </c>
      <c r="B1" t="s">
        <v>46</v>
      </c>
      <c r="C1" t="s">
        <v>48</v>
      </c>
      <c r="D1" t="s">
        <v>47</v>
      </c>
      <c r="E1" t="s">
        <v>43</v>
      </c>
      <c r="F1" t="s">
        <v>42</v>
      </c>
      <c r="G1" t="s">
        <v>45</v>
      </c>
      <c r="H1" t="s">
        <v>44</v>
      </c>
    </row>
    <row r="2" spans="1:8" x14ac:dyDescent="0.35">
      <c r="A2">
        <v>0</v>
      </c>
      <c r="B2" s="1" t="s">
        <v>82</v>
      </c>
    </row>
    <row r="3" spans="1:8" x14ac:dyDescent="0.35">
      <c r="A3">
        <v>1</v>
      </c>
      <c r="B3" s="1" t="s">
        <v>63</v>
      </c>
      <c r="C3">
        <v>564348</v>
      </c>
      <c r="D3">
        <v>663169</v>
      </c>
      <c r="E3">
        <v>801863</v>
      </c>
      <c r="F3">
        <v>1010460</v>
      </c>
      <c r="G3">
        <v>1168545</v>
      </c>
      <c r="H3">
        <v>1309438</v>
      </c>
    </row>
    <row r="4" spans="1:8" x14ac:dyDescent="0.35">
      <c r="A4">
        <v>2</v>
      </c>
      <c r="B4" s="1" t="s">
        <v>83</v>
      </c>
    </row>
    <row r="5" spans="1:8" x14ac:dyDescent="0.35">
      <c r="A5">
        <v>3</v>
      </c>
      <c r="B5" s="1" t="s">
        <v>84</v>
      </c>
      <c r="C5">
        <v>269633</v>
      </c>
      <c r="D5">
        <v>297960</v>
      </c>
      <c r="E5">
        <v>331792</v>
      </c>
      <c r="F5">
        <v>365445</v>
      </c>
      <c r="G5">
        <v>411151</v>
      </c>
      <c r="H5">
        <v>460019</v>
      </c>
    </row>
    <row r="6" spans="1:8" x14ac:dyDescent="0.35">
      <c r="A6">
        <v>4</v>
      </c>
      <c r="B6" s="1" t="s">
        <v>119</v>
      </c>
      <c r="C6">
        <v>2673</v>
      </c>
      <c r="D6">
        <v>2316</v>
      </c>
    </row>
    <row r="7" spans="1:8" x14ac:dyDescent="0.35">
      <c r="A7">
        <v>5</v>
      </c>
      <c r="B7" s="1" t="s">
        <v>120</v>
      </c>
      <c r="C7">
        <v>-354</v>
      </c>
      <c r="D7">
        <v>-435</v>
      </c>
    </row>
    <row r="8" spans="1:8" x14ac:dyDescent="0.35">
      <c r="A8">
        <v>6</v>
      </c>
      <c r="B8" s="1" t="s">
        <v>85</v>
      </c>
      <c r="C8">
        <v>6240</v>
      </c>
      <c r="D8">
        <v>8617</v>
      </c>
      <c r="E8">
        <v>14187</v>
      </c>
      <c r="F8">
        <v>13102</v>
      </c>
      <c r="G8">
        <v>15507</v>
      </c>
      <c r="H8">
        <v>16023</v>
      </c>
    </row>
    <row r="9" spans="1:8" x14ac:dyDescent="0.35">
      <c r="A9">
        <v>7</v>
      </c>
      <c r="B9" s="1" t="s">
        <v>60</v>
      </c>
      <c r="E9">
        <v>115394</v>
      </c>
      <c r="F9">
        <v>144842</v>
      </c>
      <c r="G9">
        <v>163782</v>
      </c>
      <c r="H9">
        <v>184020</v>
      </c>
    </row>
    <row r="10" spans="1:8" x14ac:dyDescent="0.35">
      <c r="A10">
        <v>8</v>
      </c>
      <c r="B10" s="1" t="s">
        <v>121</v>
      </c>
      <c r="C10">
        <v>-816</v>
      </c>
      <c r="D10">
        <v>352</v>
      </c>
    </row>
    <row r="11" spans="1:8" x14ac:dyDescent="0.35">
      <c r="A11">
        <v>9</v>
      </c>
      <c r="B11" s="1" t="s">
        <v>17</v>
      </c>
      <c r="C11">
        <v>15843</v>
      </c>
      <c r="D11">
        <v>19529</v>
      </c>
      <c r="E11">
        <v>-7488</v>
      </c>
      <c r="F11">
        <v>-10237</v>
      </c>
      <c r="G11">
        <v>-10618</v>
      </c>
      <c r="H11">
        <v>-8834</v>
      </c>
    </row>
    <row r="12" spans="1:8" x14ac:dyDescent="0.35">
      <c r="A12">
        <v>10</v>
      </c>
      <c r="B12" s="1" t="s">
        <v>122</v>
      </c>
      <c r="C12">
        <v>-4822</v>
      </c>
      <c r="D12">
        <v>-2535</v>
      </c>
    </row>
    <row r="13" spans="1:8" x14ac:dyDescent="0.35">
      <c r="A13">
        <v>11</v>
      </c>
      <c r="B13" s="1" t="s">
        <v>59</v>
      </c>
      <c r="G13">
        <v>0</v>
      </c>
      <c r="H13">
        <v>-10348</v>
      </c>
    </row>
    <row r="14" spans="1:8" x14ac:dyDescent="0.35">
      <c r="A14">
        <v>12</v>
      </c>
      <c r="B14" s="1" t="s">
        <v>57</v>
      </c>
      <c r="C14">
        <v>-19654</v>
      </c>
      <c r="D14">
        <v>-33184</v>
      </c>
      <c r="E14">
        <v>-45399</v>
      </c>
      <c r="F14">
        <v>-75293</v>
      </c>
      <c r="G14">
        <v>-129905</v>
      </c>
      <c r="H14">
        <v>-191536</v>
      </c>
    </row>
    <row r="15" spans="1:8" x14ac:dyDescent="0.35">
      <c r="A15">
        <v>13</v>
      </c>
      <c r="B15" s="1" t="s">
        <v>86</v>
      </c>
      <c r="E15">
        <v>9218</v>
      </c>
      <c r="F15">
        <v>27580</v>
      </c>
      <c r="G15">
        <v>29414</v>
      </c>
      <c r="H15">
        <v>25562</v>
      </c>
    </row>
    <row r="16" spans="1:8" x14ac:dyDescent="0.35">
      <c r="A16">
        <v>14</v>
      </c>
      <c r="B16" s="1" t="s">
        <v>87</v>
      </c>
      <c r="E16">
        <v>694</v>
      </c>
      <c r="F16">
        <v>2511</v>
      </c>
      <c r="G16">
        <v>3015</v>
      </c>
      <c r="H16">
        <v>32686</v>
      </c>
    </row>
    <row r="17" spans="1:8" x14ac:dyDescent="0.35">
      <c r="A17">
        <v>15</v>
      </c>
      <c r="B17" s="1" t="s">
        <v>88</v>
      </c>
      <c r="C17">
        <v>833091</v>
      </c>
      <c r="D17">
        <v>955789</v>
      </c>
      <c r="E17">
        <v>1220261</v>
      </c>
      <c r="F17">
        <v>1478410</v>
      </c>
      <c r="G17">
        <v>1650891</v>
      </c>
      <c r="H17">
        <v>1817030</v>
      </c>
    </row>
    <row r="18" spans="1:8" x14ac:dyDescent="0.35">
      <c r="A18">
        <v>16</v>
      </c>
      <c r="B18" s="1" t="s">
        <v>89</v>
      </c>
      <c r="C18">
        <v>55531</v>
      </c>
      <c r="D18">
        <v>110094</v>
      </c>
      <c r="E18">
        <v>-351218</v>
      </c>
      <c r="F18">
        <v>52544</v>
      </c>
      <c r="G18">
        <v>-6752</v>
      </c>
      <c r="H18">
        <v>-55874</v>
      </c>
    </row>
    <row r="19" spans="1:8" x14ac:dyDescent="0.35">
      <c r="A19">
        <v>17</v>
      </c>
      <c r="B19" s="1" t="s">
        <v>90</v>
      </c>
      <c r="C19">
        <v>888622</v>
      </c>
      <c r="D19">
        <v>1065883</v>
      </c>
      <c r="E19">
        <v>869043</v>
      </c>
      <c r="F19">
        <v>1530954</v>
      </c>
      <c r="G19">
        <v>1644139</v>
      </c>
      <c r="H19">
        <v>1761156</v>
      </c>
    </row>
    <row r="20" spans="1:8" x14ac:dyDescent="0.35">
      <c r="A20">
        <v>18</v>
      </c>
      <c r="B20" s="1" t="s">
        <v>91</v>
      </c>
    </row>
    <row r="21" spans="1:8" x14ac:dyDescent="0.35">
      <c r="A21">
        <v>19</v>
      </c>
      <c r="B21" s="1" t="s">
        <v>92</v>
      </c>
      <c r="G21">
        <v>0</v>
      </c>
      <c r="H21">
        <v>-181831</v>
      </c>
    </row>
    <row r="22" spans="1:8" x14ac:dyDescent="0.35">
      <c r="A22">
        <v>20</v>
      </c>
      <c r="B22" s="1" t="s">
        <v>93</v>
      </c>
      <c r="C22">
        <v>-97281</v>
      </c>
      <c r="D22">
        <v>0</v>
      </c>
      <c r="G22">
        <v>-5402</v>
      </c>
      <c r="H22">
        <v>-49960</v>
      </c>
    </row>
    <row r="23" spans="1:8" x14ac:dyDescent="0.35">
      <c r="A23">
        <v>21</v>
      </c>
      <c r="B23" s="1" t="s">
        <v>94</v>
      </c>
      <c r="E23">
        <v>0</v>
      </c>
      <c r="F23">
        <v>26960</v>
      </c>
      <c r="G23">
        <v>27397</v>
      </c>
      <c r="H23">
        <v>106554</v>
      </c>
    </row>
    <row r="24" spans="1:8" x14ac:dyDescent="0.35">
      <c r="A24">
        <v>22</v>
      </c>
      <c r="B24" s="1" t="s">
        <v>95</v>
      </c>
      <c r="C24">
        <v>-140040</v>
      </c>
      <c r="D24">
        <v>-136772</v>
      </c>
      <c r="E24">
        <v>-134049</v>
      </c>
      <c r="F24">
        <v>-252673</v>
      </c>
      <c r="G24">
        <v>-212828</v>
      </c>
      <c r="H24">
        <v>-248747</v>
      </c>
    </row>
    <row r="25" spans="1:8" x14ac:dyDescent="0.35">
      <c r="A25">
        <v>23</v>
      </c>
      <c r="B25" s="1" t="s">
        <v>96</v>
      </c>
      <c r="C25">
        <v>-27797</v>
      </c>
      <c r="D25">
        <v>-22740</v>
      </c>
      <c r="E25">
        <v>-22778</v>
      </c>
      <c r="F25">
        <v>-26091</v>
      </c>
      <c r="G25">
        <v>-30622</v>
      </c>
      <c r="H25">
        <v>-24034</v>
      </c>
    </row>
    <row r="26" spans="1:8" x14ac:dyDescent="0.35">
      <c r="A26">
        <v>24</v>
      </c>
      <c r="B26" s="1" t="s">
        <v>97</v>
      </c>
      <c r="G26">
        <v>0</v>
      </c>
      <c r="H26">
        <v>-6554</v>
      </c>
    </row>
    <row r="27" spans="1:8" x14ac:dyDescent="0.35">
      <c r="A27">
        <v>25</v>
      </c>
      <c r="B27" s="1" t="s">
        <v>98</v>
      </c>
      <c r="C27">
        <v>593</v>
      </c>
      <c r="D27">
        <v>839</v>
      </c>
      <c r="E27">
        <v>278</v>
      </c>
      <c r="F27">
        <v>938</v>
      </c>
      <c r="G27">
        <v>736</v>
      </c>
      <c r="H27">
        <v>1077</v>
      </c>
    </row>
    <row r="28" spans="1:8" x14ac:dyDescent="0.35">
      <c r="A28">
        <v>26</v>
      </c>
      <c r="B28" s="1" t="s">
        <v>99</v>
      </c>
      <c r="C28">
        <v>-264525</v>
      </c>
      <c r="D28">
        <v>-158673</v>
      </c>
      <c r="E28">
        <v>-156549</v>
      </c>
      <c r="F28">
        <v>-250866</v>
      </c>
      <c r="G28">
        <v>-220719</v>
      </c>
      <c r="H28">
        <v>-403495</v>
      </c>
    </row>
    <row r="29" spans="1:8" x14ac:dyDescent="0.35">
      <c r="A29">
        <v>27</v>
      </c>
      <c r="B29" s="1" t="s">
        <v>100</v>
      </c>
    </row>
    <row r="30" spans="1:8" x14ac:dyDescent="0.35">
      <c r="A30">
        <v>28</v>
      </c>
      <c r="B30" s="1" t="s">
        <v>101</v>
      </c>
      <c r="E30">
        <v>700000</v>
      </c>
      <c r="F30">
        <v>500000</v>
      </c>
      <c r="G30">
        <v>0</v>
      </c>
      <c r="H30">
        <v>600000</v>
      </c>
    </row>
    <row r="31" spans="1:8" x14ac:dyDescent="0.35">
      <c r="A31">
        <v>29</v>
      </c>
      <c r="B31" s="1" t="s">
        <v>123</v>
      </c>
      <c r="C31">
        <v>300000</v>
      </c>
      <c r="D31">
        <v>0</v>
      </c>
    </row>
    <row r="32" spans="1:8" x14ac:dyDescent="0.35">
      <c r="A32">
        <v>30</v>
      </c>
      <c r="B32" s="1" t="s">
        <v>124</v>
      </c>
      <c r="C32">
        <v>0</v>
      </c>
      <c r="D32">
        <v>375000</v>
      </c>
    </row>
    <row r="33" spans="1:8" x14ac:dyDescent="0.35">
      <c r="A33">
        <v>31</v>
      </c>
      <c r="B33" s="1" t="s">
        <v>125</v>
      </c>
      <c r="C33">
        <v>0</v>
      </c>
      <c r="D33">
        <v>375000</v>
      </c>
    </row>
    <row r="34" spans="1:8" x14ac:dyDescent="0.35">
      <c r="A34">
        <v>32</v>
      </c>
      <c r="B34" s="1" t="s">
        <v>102</v>
      </c>
      <c r="E34">
        <v>-250000</v>
      </c>
      <c r="F34">
        <v>-500000</v>
      </c>
      <c r="G34">
        <v>0</v>
      </c>
      <c r="H34">
        <v>-250000</v>
      </c>
    </row>
    <row r="35" spans="1:8" x14ac:dyDescent="0.35">
      <c r="A35">
        <v>33</v>
      </c>
      <c r="B35" s="1" t="s">
        <v>127</v>
      </c>
      <c r="C35">
        <v>-300000</v>
      </c>
      <c r="D35">
        <v>-300000</v>
      </c>
    </row>
    <row r="36" spans="1:8" x14ac:dyDescent="0.35">
      <c r="A36">
        <v>34</v>
      </c>
      <c r="B36" s="1" t="s">
        <v>128</v>
      </c>
      <c r="C36">
        <v>0</v>
      </c>
      <c r="D36">
        <v>-525000</v>
      </c>
    </row>
    <row r="37" spans="1:8" x14ac:dyDescent="0.35">
      <c r="A37">
        <v>35</v>
      </c>
      <c r="B37" s="1" t="s">
        <v>117</v>
      </c>
      <c r="E37">
        <v>-88385</v>
      </c>
      <c r="F37">
        <v>0</v>
      </c>
    </row>
    <row r="38" spans="1:8" x14ac:dyDescent="0.35">
      <c r="A38">
        <v>36</v>
      </c>
      <c r="B38" s="1" t="s">
        <v>126</v>
      </c>
      <c r="C38">
        <v>0</v>
      </c>
      <c r="D38">
        <v>88381</v>
      </c>
    </row>
    <row r="39" spans="1:8" x14ac:dyDescent="0.35">
      <c r="A39">
        <v>37</v>
      </c>
      <c r="B39" s="1" t="s">
        <v>103</v>
      </c>
      <c r="E39">
        <v>-64180</v>
      </c>
      <c r="F39">
        <v>-100811</v>
      </c>
      <c r="G39">
        <v>-108490</v>
      </c>
      <c r="H39">
        <v>-114516</v>
      </c>
    </row>
    <row r="40" spans="1:8" x14ac:dyDescent="0.35">
      <c r="A40">
        <v>38</v>
      </c>
      <c r="B40" s="1" t="s">
        <v>104</v>
      </c>
      <c r="C40">
        <v>-2200</v>
      </c>
      <c r="D40">
        <v>-4174</v>
      </c>
      <c r="E40">
        <v>-3847</v>
      </c>
      <c r="F40">
        <v>-2896</v>
      </c>
      <c r="G40">
        <v>-480</v>
      </c>
      <c r="H40">
        <v>-3584</v>
      </c>
    </row>
    <row r="41" spans="1:8" x14ac:dyDescent="0.35">
      <c r="A41">
        <v>39</v>
      </c>
      <c r="B41" s="1" t="s">
        <v>118</v>
      </c>
      <c r="E41">
        <v>10416</v>
      </c>
      <c r="F41">
        <v>13841</v>
      </c>
    </row>
    <row r="42" spans="1:8" x14ac:dyDescent="0.35">
      <c r="A42">
        <v>40</v>
      </c>
      <c r="B42" s="1" t="s">
        <v>105</v>
      </c>
      <c r="C42">
        <v>-163804</v>
      </c>
      <c r="D42">
        <v>-183285</v>
      </c>
      <c r="E42">
        <v>-253566</v>
      </c>
      <c r="F42">
        <v>-284836</v>
      </c>
      <c r="G42">
        <v>-317829</v>
      </c>
      <c r="H42">
        <v>-390333</v>
      </c>
    </row>
    <row r="43" spans="1:8" x14ac:dyDescent="0.35">
      <c r="A43">
        <v>41</v>
      </c>
      <c r="B43" s="1" t="s">
        <v>106</v>
      </c>
      <c r="C43">
        <v>32399</v>
      </c>
      <c r="D43">
        <v>19164</v>
      </c>
      <c r="E43">
        <v>19242</v>
      </c>
      <c r="F43">
        <v>39268</v>
      </c>
      <c r="G43">
        <v>19772</v>
      </c>
      <c r="H43">
        <v>8840</v>
      </c>
    </row>
    <row r="44" spans="1:8" x14ac:dyDescent="0.35">
      <c r="A44">
        <v>42</v>
      </c>
      <c r="B44" s="1" t="s">
        <v>107</v>
      </c>
      <c r="C44">
        <v>-54770</v>
      </c>
      <c r="D44">
        <v>-60464</v>
      </c>
      <c r="E44">
        <v>-62975</v>
      </c>
      <c r="F44">
        <v>-76131</v>
      </c>
      <c r="G44">
        <v>-97244</v>
      </c>
      <c r="H44">
        <v>-113196</v>
      </c>
    </row>
    <row r="45" spans="1:8" x14ac:dyDescent="0.35">
      <c r="A45">
        <v>43</v>
      </c>
      <c r="B45" s="1" t="s">
        <v>108</v>
      </c>
      <c r="C45">
        <v>-87042</v>
      </c>
      <c r="D45">
        <v>-1059918</v>
      </c>
      <c r="E45">
        <v>-688996</v>
      </c>
      <c r="F45">
        <v>-655869</v>
      </c>
      <c r="G45">
        <v>-1070712</v>
      </c>
      <c r="H45">
        <v>-854414</v>
      </c>
    </row>
    <row r="46" spans="1:8" x14ac:dyDescent="0.35">
      <c r="A46">
        <v>44</v>
      </c>
      <c r="B46" s="1" t="s">
        <v>109</v>
      </c>
      <c r="G46">
        <v>-20000</v>
      </c>
      <c r="H46">
        <v>-9970</v>
      </c>
    </row>
    <row r="47" spans="1:8" x14ac:dyDescent="0.35">
      <c r="A47">
        <v>45</v>
      </c>
      <c r="B47" s="1" t="s">
        <v>110</v>
      </c>
      <c r="G47">
        <v>-19667</v>
      </c>
      <c r="H47">
        <v>-21604</v>
      </c>
    </row>
    <row r="48" spans="1:8" x14ac:dyDescent="0.35">
      <c r="A48">
        <v>46</v>
      </c>
      <c r="B48" s="1" t="s">
        <v>111</v>
      </c>
      <c r="C48">
        <v>-275417</v>
      </c>
      <c r="D48">
        <v>-1275296</v>
      </c>
      <c r="E48">
        <v>-682291</v>
      </c>
      <c r="F48">
        <v>-1067434</v>
      </c>
      <c r="G48">
        <v>-1614650</v>
      </c>
      <c r="H48">
        <v>-1148777</v>
      </c>
    </row>
    <row r="49" spans="1:8" x14ac:dyDescent="0.35">
      <c r="A49">
        <v>47</v>
      </c>
      <c r="B49" s="1" t="s">
        <v>112</v>
      </c>
      <c r="C49">
        <v>348680</v>
      </c>
      <c r="D49">
        <v>-368086</v>
      </c>
      <c r="E49">
        <v>30203</v>
      </c>
      <c r="F49">
        <v>212654</v>
      </c>
      <c r="G49">
        <v>-191230</v>
      </c>
      <c r="H49">
        <v>208884</v>
      </c>
    </row>
    <row r="50" spans="1:8" x14ac:dyDescent="0.35">
      <c r="A50">
        <v>48</v>
      </c>
      <c r="B50" s="1" t="s">
        <v>113</v>
      </c>
      <c r="C50">
        <v>90464</v>
      </c>
      <c r="D50">
        <v>439144</v>
      </c>
      <c r="E50">
        <v>71058</v>
      </c>
      <c r="F50">
        <v>101261</v>
      </c>
      <c r="G50">
        <v>313915</v>
      </c>
      <c r="H50">
        <v>122685</v>
      </c>
    </row>
    <row r="51" spans="1:8" x14ac:dyDescent="0.35">
      <c r="A51">
        <v>49</v>
      </c>
      <c r="B51" s="1" t="s">
        <v>114</v>
      </c>
      <c r="C51">
        <v>439144</v>
      </c>
      <c r="D51">
        <v>71058</v>
      </c>
      <c r="E51">
        <v>101261</v>
      </c>
      <c r="F51">
        <v>313915</v>
      </c>
      <c r="G51">
        <v>122685</v>
      </c>
      <c r="H51">
        <v>331569</v>
      </c>
    </row>
    <row r="52" spans="1:8" x14ac:dyDescent="0.35">
      <c r="A52">
        <v>50</v>
      </c>
      <c r="B52" s="1" t="s">
        <v>115</v>
      </c>
    </row>
    <row r="53" spans="1:8" x14ac:dyDescent="0.35">
      <c r="A53">
        <v>51</v>
      </c>
      <c r="B53" s="1" t="s">
        <v>116</v>
      </c>
      <c r="C53">
        <v>0</v>
      </c>
      <c r="D53">
        <v>0</v>
      </c>
      <c r="E53">
        <v>52307</v>
      </c>
      <c r="F53">
        <v>66587</v>
      </c>
      <c r="G53">
        <v>86730</v>
      </c>
      <c r="H53">
        <v>99087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9443-8E5F-49BD-B11A-C5D3F37F7A4A}">
  <sheetPr>
    <tabColor theme="5" tint="-0.249977111117893"/>
  </sheetPr>
  <dimension ref="A1:H41"/>
  <sheetViews>
    <sheetView topLeftCell="A23" workbookViewId="0">
      <selection activeCell="C36" sqref="C36"/>
    </sheetView>
  </sheetViews>
  <sheetFormatPr defaultRowHeight="14.5" x14ac:dyDescent="0.35"/>
  <cols>
    <col min="1" max="1" width="7.7265625" bestFit="1" customWidth="1"/>
    <col min="2" max="2" width="80.7265625" bestFit="1" customWidth="1"/>
    <col min="3" max="6" width="9" bestFit="1" customWidth="1"/>
    <col min="7" max="8" width="11" bestFit="1" customWidth="1"/>
    <col min="9" max="9" width="9.453125" bestFit="1" customWidth="1"/>
  </cols>
  <sheetData>
    <row r="1" spans="1:8" x14ac:dyDescent="0.35">
      <c r="A1" t="s">
        <v>41</v>
      </c>
      <c r="B1" t="s">
        <v>46</v>
      </c>
      <c r="C1" t="s">
        <v>48</v>
      </c>
      <c r="D1" t="s">
        <v>47</v>
      </c>
      <c r="E1" t="s">
        <v>43</v>
      </c>
      <c r="F1" t="s">
        <v>42</v>
      </c>
      <c r="G1" t="s">
        <v>45</v>
      </c>
      <c r="H1" t="s">
        <v>44</v>
      </c>
    </row>
    <row r="2" spans="1:8" x14ac:dyDescent="0.35">
      <c r="A2">
        <v>0</v>
      </c>
      <c r="B2" s="1" t="s">
        <v>52</v>
      </c>
      <c r="C2" s="6"/>
      <c r="D2" s="3"/>
      <c r="E2" s="3"/>
      <c r="F2" s="3"/>
      <c r="G2" s="3">
        <v>6413145</v>
      </c>
      <c r="H2" s="3">
        <v>7255754</v>
      </c>
    </row>
    <row r="3" spans="1:8" x14ac:dyDescent="0.35">
      <c r="A3">
        <v>1</v>
      </c>
      <c r="B3" s="1" t="s">
        <v>53</v>
      </c>
      <c r="G3">
        <v>3519399</v>
      </c>
      <c r="H3">
        <v>3987089</v>
      </c>
    </row>
    <row r="4" spans="1:8" x14ac:dyDescent="0.35">
      <c r="A4">
        <v>2</v>
      </c>
      <c r="B4" s="1" t="s">
        <v>54</v>
      </c>
      <c r="G4">
        <v>2893746</v>
      </c>
      <c r="H4">
        <v>3268665</v>
      </c>
    </row>
    <row r="5" spans="1:8" x14ac:dyDescent="0.35">
      <c r="A5">
        <v>3</v>
      </c>
      <c r="B5" s="1" t="s">
        <v>55</v>
      </c>
      <c r="G5">
        <v>930168</v>
      </c>
      <c r="H5">
        <v>1093289</v>
      </c>
    </row>
    <row r="6" spans="1:8" x14ac:dyDescent="0.35">
      <c r="A6">
        <v>4</v>
      </c>
      <c r="B6" s="1" t="s">
        <v>56</v>
      </c>
      <c r="G6">
        <v>382805</v>
      </c>
      <c r="H6">
        <v>429053</v>
      </c>
    </row>
    <row r="7" spans="1:8" x14ac:dyDescent="0.35">
      <c r="A7">
        <v>5</v>
      </c>
      <c r="B7" s="1" t="s">
        <v>57</v>
      </c>
      <c r="G7">
        <v>-129905</v>
      </c>
      <c r="H7">
        <v>-191536</v>
      </c>
    </row>
    <row r="8" spans="1:8" x14ac:dyDescent="0.35">
      <c r="A8">
        <v>6</v>
      </c>
      <c r="B8" s="1" t="s">
        <v>58</v>
      </c>
      <c r="G8">
        <v>1710678</v>
      </c>
      <c r="H8">
        <v>1937859</v>
      </c>
    </row>
    <row r="9" spans="1:8" x14ac:dyDescent="0.35">
      <c r="A9">
        <v>7</v>
      </c>
      <c r="B9" s="1" t="s">
        <v>59</v>
      </c>
      <c r="G9">
        <v>0</v>
      </c>
      <c r="H9">
        <v>-10348</v>
      </c>
    </row>
    <row r="10" spans="1:8" x14ac:dyDescent="0.35">
      <c r="A10">
        <v>8</v>
      </c>
      <c r="B10" s="1" t="s">
        <v>60</v>
      </c>
      <c r="G10">
        <v>163782</v>
      </c>
      <c r="H10">
        <v>184020</v>
      </c>
    </row>
    <row r="11" spans="1:8" x14ac:dyDescent="0.35">
      <c r="A11">
        <v>9</v>
      </c>
      <c r="B11" s="1" t="s">
        <v>61</v>
      </c>
      <c r="G11">
        <v>1546896</v>
      </c>
      <c r="H11">
        <v>1764187</v>
      </c>
    </row>
    <row r="12" spans="1:8" x14ac:dyDescent="0.35">
      <c r="A12">
        <v>10</v>
      </c>
      <c r="B12" s="1" t="s">
        <v>62</v>
      </c>
      <c r="G12">
        <v>378351</v>
      </c>
      <c r="H12">
        <v>454749</v>
      </c>
    </row>
    <row r="13" spans="1:8" x14ac:dyDescent="0.35">
      <c r="A13">
        <v>11</v>
      </c>
      <c r="B13" s="1" t="s">
        <v>63</v>
      </c>
      <c r="G13">
        <v>1168545</v>
      </c>
      <c r="H13">
        <v>1309438</v>
      </c>
    </row>
    <row r="14" spans="1:8" x14ac:dyDescent="0.35">
      <c r="A14">
        <v>12</v>
      </c>
      <c r="B14" s="1" t="s">
        <v>64</v>
      </c>
    </row>
    <row r="15" spans="1:8" x14ac:dyDescent="0.35">
      <c r="A15">
        <v>13</v>
      </c>
      <c r="B15" s="1" t="s">
        <v>65</v>
      </c>
    </row>
    <row r="16" spans="1:8" x14ac:dyDescent="0.35">
      <c r="A16">
        <v>14</v>
      </c>
      <c r="B16" s="1" t="s">
        <v>80</v>
      </c>
      <c r="C16">
        <v>-460</v>
      </c>
      <c r="D16">
        <v>723</v>
      </c>
      <c r="E16">
        <v>9245</v>
      </c>
      <c r="F16">
        <v>13841</v>
      </c>
    </row>
    <row r="17" spans="1:8" x14ac:dyDescent="0.35">
      <c r="A17">
        <v>15</v>
      </c>
      <c r="B17" s="1" t="s">
        <v>66</v>
      </c>
      <c r="C17">
        <v>-354</v>
      </c>
      <c r="D17">
        <v>-435</v>
      </c>
      <c r="E17">
        <v>-1019</v>
      </c>
      <c r="F17">
        <v>-3237</v>
      </c>
      <c r="G17">
        <v>-4826</v>
      </c>
      <c r="H17">
        <v>-4735</v>
      </c>
    </row>
    <row r="18" spans="1:8" x14ac:dyDescent="0.35">
      <c r="A18">
        <v>16</v>
      </c>
      <c r="B18" s="1" t="s">
        <v>67</v>
      </c>
      <c r="C18">
        <v>-8061</v>
      </c>
      <c r="D18">
        <v>614</v>
      </c>
      <c r="E18">
        <v>10813</v>
      </c>
      <c r="F18">
        <v>4004</v>
      </c>
      <c r="G18">
        <v>76436</v>
      </c>
      <c r="H18">
        <v>-70225</v>
      </c>
    </row>
    <row r="19" spans="1:8" x14ac:dyDescent="0.35">
      <c r="A19">
        <v>17</v>
      </c>
      <c r="B19" s="1" t="s">
        <v>68</v>
      </c>
      <c r="C19">
        <v>-3588</v>
      </c>
      <c r="D19">
        <v>-1217</v>
      </c>
      <c r="E19">
        <v>-6031</v>
      </c>
      <c r="F19">
        <v>23249</v>
      </c>
      <c r="G19">
        <v>-23480</v>
      </c>
      <c r="H19">
        <v>33473</v>
      </c>
    </row>
    <row r="20" spans="1:8" x14ac:dyDescent="0.35">
      <c r="A20">
        <v>18</v>
      </c>
      <c r="B20" s="1" t="s">
        <v>69</v>
      </c>
      <c r="C20">
        <v>240</v>
      </c>
      <c r="D20">
        <v>115</v>
      </c>
      <c r="E20">
        <v>-2176</v>
      </c>
      <c r="F20">
        <v>-2807</v>
      </c>
      <c r="G20">
        <v>1277</v>
      </c>
      <c r="H20">
        <v>1253</v>
      </c>
    </row>
    <row r="21" spans="1:8" x14ac:dyDescent="0.35">
      <c r="A21">
        <v>19</v>
      </c>
      <c r="B21" s="1" t="s">
        <v>70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>
        <v>20</v>
      </c>
      <c r="B22" s="1" t="s">
        <v>71</v>
      </c>
      <c r="C22">
        <v>-27750</v>
      </c>
      <c r="D22">
        <v>-294</v>
      </c>
      <c r="E22">
        <v>38016</v>
      </c>
      <c r="F22">
        <v>12984</v>
      </c>
      <c r="G22">
        <v>50582</v>
      </c>
      <c r="H22">
        <v>-48470</v>
      </c>
    </row>
    <row r="23" spans="1:8" x14ac:dyDescent="0.35">
      <c r="A23">
        <v>21</v>
      </c>
      <c r="B23" s="1" t="s">
        <v>72</v>
      </c>
      <c r="C23">
        <v>7353</v>
      </c>
      <c r="D23">
        <v>-576</v>
      </c>
      <c r="E23">
        <v>-9934</v>
      </c>
      <c r="F23">
        <v>-3152</v>
      </c>
      <c r="G23">
        <v>-13680</v>
      </c>
      <c r="H23">
        <v>13011</v>
      </c>
    </row>
    <row r="24" spans="1:8" x14ac:dyDescent="0.35">
      <c r="A24">
        <v>22</v>
      </c>
      <c r="B24" s="1" t="s">
        <v>73</v>
      </c>
      <c r="C24">
        <v>-32620</v>
      </c>
      <c r="D24">
        <v>-1070</v>
      </c>
      <c r="E24">
        <v>38914</v>
      </c>
      <c r="F24">
        <v>44882</v>
      </c>
      <c r="G24">
        <v>86309</v>
      </c>
      <c r="H24">
        <v>-75693</v>
      </c>
    </row>
    <row r="25" spans="1:8" x14ac:dyDescent="0.35">
      <c r="A25">
        <v>23</v>
      </c>
      <c r="B25" s="1" t="s">
        <v>74</v>
      </c>
      <c r="C25">
        <v>531728</v>
      </c>
      <c r="D25">
        <v>662099</v>
      </c>
      <c r="E25">
        <v>840777</v>
      </c>
      <c r="F25">
        <v>1055342</v>
      </c>
      <c r="G25">
        <v>1254854</v>
      </c>
      <c r="H25">
        <v>1233745</v>
      </c>
    </row>
    <row r="26" spans="1:8" x14ac:dyDescent="0.35">
      <c r="A26">
        <v>24</v>
      </c>
      <c r="B26" s="1" t="s">
        <v>75</v>
      </c>
    </row>
    <row r="27" spans="1:8" x14ac:dyDescent="0.35">
      <c r="A27">
        <v>25</v>
      </c>
      <c r="B27" s="1" t="s">
        <v>76</v>
      </c>
      <c r="C27">
        <v>1.82</v>
      </c>
      <c r="D27">
        <v>2.19</v>
      </c>
      <c r="E27">
        <v>2.77</v>
      </c>
      <c r="F27">
        <v>3.57</v>
      </c>
      <c r="G27">
        <v>4.18</v>
      </c>
      <c r="H27">
        <v>4.75</v>
      </c>
    </row>
    <row r="28" spans="1:8" x14ac:dyDescent="0.35">
      <c r="A28">
        <v>26</v>
      </c>
      <c r="B28" s="1" t="s">
        <v>77</v>
      </c>
      <c r="C28">
        <v>1.81</v>
      </c>
      <c r="D28">
        <v>2.1800000000000002</v>
      </c>
      <c r="E28">
        <v>2.76</v>
      </c>
      <c r="F28">
        <v>3.56</v>
      </c>
      <c r="G28">
        <v>4.16</v>
      </c>
      <c r="H28">
        <v>4.7300000000000004</v>
      </c>
    </row>
    <row r="29" spans="1:8" x14ac:dyDescent="0.35">
      <c r="A29">
        <v>27</v>
      </c>
      <c r="B29" s="1" t="s">
        <v>78</v>
      </c>
      <c r="C29">
        <v>310738</v>
      </c>
      <c r="D29">
        <v>302963</v>
      </c>
      <c r="E29">
        <v>289412</v>
      </c>
      <c r="F29">
        <v>283074</v>
      </c>
      <c r="G29">
        <v>279825</v>
      </c>
      <c r="H29">
        <v>275611</v>
      </c>
    </row>
    <row r="30" spans="1:8" x14ac:dyDescent="0.35">
      <c r="A30">
        <v>28</v>
      </c>
      <c r="B30" s="1" t="s">
        <v>79</v>
      </c>
      <c r="C30">
        <v>312455</v>
      </c>
      <c r="D30">
        <v>304416</v>
      </c>
      <c r="E30">
        <v>291005</v>
      </c>
      <c r="F30">
        <v>284168</v>
      </c>
      <c r="G30">
        <v>280819</v>
      </c>
      <c r="H30">
        <v>276684</v>
      </c>
    </row>
    <row r="31" spans="1:8" x14ac:dyDescent="0.35">
      <c r="A31">
        <v>29</v>
      </c>
      <c r="B31" s="1" t="s">
        <v>52</v>
      </c>
      <c r="C31">
        <v>4026259</v>
      </c>
      <c r="D31">
        <v>4330761</v>
      </c>
      <c r="E31">
        <v>5052741</v>
      </c>
      <c r="F31">
        <v>5867348</v>
      </c>
    </row>
    <row r="32" spans="1:8" x14ac:dyDescent="0.35">
      <c r="A32">
        <v>30</v>
      </c>
      <c r="B32" s="1" t="s">
        <v>53</v>
      </c>
      <c r="C32">
        <v>2261248</v>
      </c>
      <c r="D32">
        <v>2428536</v>
      </c>
      <c r="E32">
        <v>2854535</v>
      </c>
      <c r="F32">
        <v>3253907</v>
      </c>
    </row>
    <row r="33" spans="1:6" x14ac:dyDescent="0.35">
      <c r="A33">
        <v>31</v>
      </c>
      <c r="B33" s="1" t="s">
        <v>54</v>
      </c>
      <c r="C33">
        <v>1765011</v>
      </c>
      <c r="D33">
        <v>1902225</v>
      </c>
      <c r="E33">
        <v>2198206</v>
      </c>
      <c r="F33">
        <v>2613441</v>
      </c>
    </row>
    <row r="34" spans="1:6" x14ac:dyDescent="0.35">
      <c r="A34">
        <v>32</v>
      </c>
      <c r="B34" s="1" t="s">
        <v>55</v>
      </c>
      <c r="C34">
        <v>654032</v>
      </c>
      <c r="D34">
        <v>652832</v>
      </c>
      <c r="E34">
        <v>720312</v>
      </c>
      <c r="F34">
        <v>844871</v>
      </c>
    </row>
    <row r="35" spans="1:6" x14ac:dyDescent="0.35">
      <c r="A35">
        <v>33</v>
      </c>
      <c r="B35" s="1" t="s">
        <v>56</v>
      </c>
      <c r="C35">
        <v>269633</v>
      </c>
      <c r="D35">
        <v>297960</v>
      </c>
      <c r="E35">
        <v>331792</v>
      </c>
      <c r="F35">
        <v>348142</v>
      </c>
    </row>
    <row r="36" spans="1:6" x14ac:dyDescent="0.35">
      <c r="A36">
        <v>34</v>
      </c>
      <c r="B36" s="1" t="s">
        <v>57</v>
      </c>
      <c r="C36">
        <v>-19654</v>
      </c>
      <c r="D36">
        <v>-33184</v>
      </c>
      <c r="E36">
        <v>-45399</v>
      </c>
      <c r="F36">
        <v>-75293</v>
      </c>
    </row>
    <row r="37" spans="1:6" x14ac:dyDescent="0.35">
      <c r="A37">
        <v>35</v>
      </c>
      <c r="B37" s="1" t="s">
        <v>58</v>
      </c>
      <c r="C37">
        <v>861000</v>
      </c>
      <c r="D37">
        <v>984617</v>
      </c>
      <c r="E37">
        <v>1191501</v>
      </c>
      <c r="F37">
        <v>1495721</v>
      </c>
    </row>
    <row r="38" spans="1:6" x14ac:dyDescent="0.35">
      <c r="A38">
        <v>36</v>
      </c>
      <c r="B38" s="1" t="s">
        <v>60</v>
      </c>
      <c r="C38">
        <v>95646</v>
      </c>
      <c r="D38">
        <v>91216</v>
      </c>
      <c r="E38">
        <v>115394</v>
      </c>
      <c r="F38">
        <v>144842</v>
      </c>
    </row>
    <row r="39" spans="1:6" x14ac:dyDescent="0.35">
      <c r="A39">
        <v>37</v>
      </c>
      <c r="B39" s="1" t="s">
        <v>61</v>
      </c>
      <c r="C39">
        <v>765354</v>
      </c>
      <c r="D39">
        <v>893401</v>
      </c>
      <c r="E39">
        <v>1076107</v>
      </c>
      <c r="F39">
        <v>1350879</v>
      </c>
    </row>
    <row r="40" spans="1:6" x14ac:dyDescent="0.35">
      <c r="A40">
        <v>38</v>
      </c>
      <c r="B40" s="1" t="s">
        <v>62</v>
      </c>
      <c r="C40">
        <v>201006</v>
      </c>
      <c r="D40">
        <v>230232</v>
      </c>
      <c r="E40">
        <v>274244</v>
      </c>
      <c r="F40">
        <v>340419</v>
      </c>
    </row>
    <row r="41" spans="1:6" x14ac:dyDescent="0.35">
      <c r="A41">
        <v>39</v>
      </c>
      <c r="B41" s="1" t="s">
        <v>63</v>
      </c>
      <c r="C41">
        <v>564348</v>
      </c>
      <c r="D41">
        <v>663169</v>
      </c>
      <c r="E41">
        <v>801863</v>
      </c>
      <c r="F41">
        <v>1010460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274F-B972-4F2C-A187-FDB319D7F564}">
  <dimension ref="A1:H45"/>
  <sheetViews>
    <sheetView workbookViewId="0">
      <selection activeCell="B1" sqref="B1"/>
    </sheetView>
  </sheetViews>
  <sheetFormatPr defaultRowHeight="14.5" x14ac:dyDescent="0.35"/>
  <cols>
    <col min="1" max="1" width="7.7265625" bestFit="1" customWidth="1"/>
    <col min="2" max="2" width="51.26953125" bestFit="1" customWidth="1"/>
    <col min="3" max="8" width="9" bestFit="1" customWidth="1"/>
    <col min="9" max="9" width="55.81640625" bestFit="1" customWidth="1"/>
    <col min="10" max="10" width="22" bestFit="1" customWidth="1"/>
    <col min="11" max="11" width="22" customWidth="1"/>
    <col min="12" max="13" width="22.54296875" bestFit="1" customWidth="1"/>
  </cols>
  <sheetData>
    <row r="1" spans="1:8" x14ac:dyDescent="0.35">
      <c r="A1" t="s">
        <v>41</v>
      </c>
      <c r="B1" t="s">
        <v>46</v>
      </c>
      <c r="C1" t="s">
        <v>48</v>
      </c>
      <c r="D1" t="s">
        <v>47</v>
      </c>
      <c r="E1" t="s">
        <v>43</v>
      </c>
      <c r="F1" t="s">
        <v>42</v>
      </c>
      <c r="G1" t="s">
        <v>45</v>
      </c>
      <c r="H1" t="s">
        <v>44</v>
      </c>
    </row>
    <row r="2" spans="1:8" x14ac:dyDescent="0.35">
      <c r="A2">
        <v>0</v>
      </c>
      <c r="B2" s="1" t="s">
        <v>0</v>
      </c>
    </row>
    <row r="3" spans="1:8" x14ac:dyDescent="0.35">
      <c r="A3">
        <v>1</v>
      </c>
      <c r="B3" s="1" t="s">
        <v>1</v>
      </c>
    </row>
    <row r="4" spans="1:8" x14ac:dyDescent="0.35">
      <c r="A4">
        <v>2</v>
      </c>
      <c r="B4" s="1" t="s">
        <v>2</v>
      </c>
      <c r="C4">
        <v>439144</v>
      </c>
      <c r="D4">
        <v>71058</v>
      </c>
      <c r="E4">
        <v>101261</v>
      </c>
      <c r="F4">
        <v>313915</v>
      </c>
      <c r="G4">
        <v>122685</v>
      </c>
      <c r="H4">
        <v>331569</v>
      </c>
    </row>
    <row r="5" spans="1:8" x14ac:dyDescent="0.35">
      <c r="A5">
        <v>3</v>
      </c>
      <c r="B5" s="1" t="s">
        <v>3</v>
      </c>
      <c r="C5">
        <v>20546</v>
      </c>
      <c r="D5">
        <v>26260</v>
      </c>
      <c r="E5">
        <v>56290</v>
      </c>
      <c r="F5">
        <v>32474</v>
      </c>
      <c r="G5">
        <v>46638</v>
      </c>
      <c r="H5">
        <v>38500</v>
      </c>
    </row>
    <row r="6" spans="1:8" x14ac:dyDescent="0.35">
      <c r="A6">
        <v>4</v>
      </c>
      <c r="B6" s="1" t="s">
        <v>4</v>
      </c>
      <c r="G6">
        <v>0</v>
      </c>
      <c r="H6">
        <v>559</v>
      </c>
    </row>
    <row r="7" spans="1:8" x14ac:dyDescent="0.35">
      <c r="A7">
        <v>5</v>
      </c>
      <c r="B7" s="1" t="s">
        <v>5</v>
      </c>
      <c r="E7">
        <v>0</v>
      </c>
      <c r="F7">
        <v>26906</v>
      </c>
      <c r="G7">
        <v>54620</v>
      </c>
      <c r="H7">
        <v>0</v>
      </c>
    </row>
    <row r="8" spans="1:8" x14ac:dyDescent="0.35">
      <c r="A8">
        <v>6</v>
      </c>
      <c r="B8" s="1" t="s">
        <v>6</v>
      </c>
      <c r="C8">
        <v>9549</v>
      </c>
      <c r="D8">
        <v>13135</v>
      </c>
      <c r="E8">
        <v>23462</v>
      </c>
      <c r="F8">
        <v>13668</v>
      </c>
      <c r="G8">
        <v>13911</v>
      </c>
      <c r="H8">
        <v>38452</v>
      </c>
    </row>
    <row r="9" spans="1:8" x14ac:dyDescent="0.35">
      <c r="A9">
        <v>7</v>
      </c>
      <c r="B9" s="1" t="s">
        <v>7</v>
      </c>
      <c r="C9">
        <v>630655</v>
      </c>
      <c r="D9">
        <v>590927</v>
      </c>
      <c r="E9">
        <v>957172</v>
      </c>
      <c r="F9">
        <v>916812</v>
      </c>
      <c r="G9">
        <v>921095</v>
      </c>
      <c r="H9">
        <v>1103175</v>
      </c>
    </row>
    <row r="10" spans="1:8" x14ac:dyDescent="0.35">
      <c r="A10">
        <v>8</v>
      </c>
      <c r="B10" s="1" t="s">
        <v>8</v>
      </c>
      <c r="C10">
        <v>468</v>
      </c>
      <c r="D10">
        <v>15987</v>
      </c>
      <c r="E10">
        <v>18762</v>
      </c>
      <c r="F10">
        <v>5318</v>
      </c>
      <c r="G10">
        <v>42331</v>
      </c>
      <c r="H10">
        <v>9734</v>
      </c>
    </row>
    <row r="11" spans="1:8" x14ac:dyDescent="0.35">
      <c r="A11">
        <v>9</v>
      </c>
      <c r="B11" s="1" t="s">
        <v>9</v>
      </c>
      <c r="C11">
        <v>1100362</v>
      </c>
      <c r="D11">
        <v>717367</v>
      </c>
      <c r="E11">
        <v>1156947</v>
      </c>
      <c r="F11">
        <v>1309093</v>
      </c>
      <c r="G11">
        <v>1201280</v>
      </c>
      <c r="H11">
        <v>1521989</v>
      </c>
    </row>
    <row r="12" spans="1:8" x14ac:dyDescent="0.35">
      <c r="A12">
        <v>10</v>
      </c>
      <c r="B12" s="1" t="s">
        <v>10</v>
      </c>
    </row>
    <row r="13" spans="1:8" x14ac:dyDescent="0.35">
      <c r="A13">
        <v>11</v>
      </c>
      <c r="B13" s="1" t="s">
        <v>11</v>
      </c>
      <c r="C13">
        <v>1344639</v>
      </c>
      <c r="D13">
        <v>1480255</v>
      </c>
      <c r="E13">
        <v>1699755</v>
      </c>
      <c r="F13">
        <v>1788550</v>
      </c>
      <c r="G13">
        <v>2109445</v>
      </c>
      <c r="H13">
        <v>2397209</v>
      </c>
    </row>
    <row r="14" spans="1:8" x14ac:dyDescent="0.35">
      <c r="A14">
        <v>12</v>
      </c>
      <c r="B14" s="1" t="s">
        <v>12</v>
      </c>
      <c r="C14">
        <v>709469</v>
      </c>
      <c r="D14">
        <v>761876</v>
      </c>
      <c r="E14">
        <v>802750</v>
      </c>
      <c r="F14">
        <v>950994</v>
      </c>
      <c r="G14">
        <v>1046390</v>
      </c>
      <c r="H14">
        <v>1258499</v>
      </c>
    </row>
    <row r="15" spans="1:8" x14ac:dyDescent="0.35">
      <c r="A15">
        <v>13</v>
      </c>
      <c r="B15" s="1" t="s">
        <v>13</v>
      </c>
      <c r="C15">
        <v>161791</v>
      </c>
      <c r="D15">
        <v>164066</v>
      </c>
      <c r="E15">
        <v>164654</v>
      </c>
      <c r="F15">
        <v>167835</v>
      </c>
      <c r="G15">
        <v>180689</v>
      </c>
      <c r="H15">
        <v>178281</v>
      </c>
    </row>
    <row r="16" spans="1:8" x14ac:dyDescent="0.35">
      <c r="A16">
        <v>14</v>
      </c>
      <c r="B16" s="1" t="s">
        <v>8</v>
      </c>
      <c r="C16">
        <v>314</v>
      </c>
      <c r="D16">
        <v>290</v>
      </c>
    </row>
    <row r="17" spans="1:8" x14ac:dyDescent="0.35">
      <c r="A17">
        <v>15</v>
      </c>
      <c r="B17" s="1" t="s">
        <v>14</v>
      </c>
      <c r="C17">
        <v>727782</v>
      </c>
      <c r="D17">
        <v>727782</v>
      </c>
      <c r="E17">
        <v>727782</v>
      </c>
      <c r="F17">
        <v>727782</v>
      </c>
      <c r="G17">
        <v>727782</v>
      </c>
      <c r="H17">
        <v>801709</v>
      </c>
    </row>
    <row r="18" spans="1:8" x14ac:dyDescent="0.35">
      <c r="A18">
        <v>16</v>
      </c>
      <c r="B18" s="1" t="s">
        <v>15</v>
      </c>
      <c r="C18">
        <v>179389</v>
      </c>
      <c r="D18">
        <v>211926</v>
      </c>
      <c r="E18">
        <v>267768</v>
      </c>
      <c r="F18">
        <v>319353</v>
      </c>
      <c r="G18">
        <v>1131650</v>
      </c>
      <c r="H18">
        <v>1285105</v>
      </c>
    </row>
    <row r="19" spans="1:8" x14ac:dyDescent="0.35">
      <c r="A19">
        <v>17</v>
      </c>
      <c r="B19" s="1" t="s">
        <v>16</v>
      </c>
      <c r="G19">
        <v>85356</v>
      </c>
      <c r="H19">
        <v>89846</v>
      </c>
    </row>
    <row r="20" spans="1:8" x14ac:dyDescent="0.35">
      <c r="A20">
        <v>18</v>
      </c>
      <c r="B20" s="1" t="s">
        <v>17</v>
      </c>
      <c r="G20">
        <v>0</v>
      </c>
      <c r="H20">
        <v>25714</v>
      </c>
    </row>
    <row r="21" spans="1:8" x14ac:dyDescent="0.35">
      <c r="A21">
        <v>19</v>
      </c>
      <c r="B21" s="1" t="s">
        <v>18</v>
      </c>
      <c r="C21">
        <v>4223746</v>
      </c>
      <c r="D21">
        <v>4063562</v>
      </c>
      <c r="E21">
        <v>4819656</v>
      </c>
      <c r="F21">
        <v>5263607</v>
      </c>
      <c r="G21">
        <v>6482592</v>
      </c>
      <c r="H21">
        <v>7558352</v>
      </c>
    </row>
    <row r="22" spans="1:8" x14ac:dyDescent="0.35">
      <c r="A22">
        <v>20</v>
      </c>
      <c r="B22" s="1" t="s">
        <v>19</v>
      </c>
    </row>
    <row r="23" spans="1:8" x14ac:dyDescent="0.35">
      <c r="A23">
        <v>21</v>
      </c>
      <c r="B23" s="1" t="s">
        <v>20</v>
      </c>
    </row>
    <row r="24" spans="1:8" x14ac:dyDescent="0.35">
      <c r="A24">
        <v>22</v>
      </c>
      <c r="B24" s="1" t="s">
        <v>21</v>
      </c>
      <c r="C24">
        <v>253072</v>
      </c>
      <c r="D24">
        <v>283125</v>
      </c>
      <c r="E24">
        <v>336862</v>
      </c>
      <c r="F24">
        <v>334357</v>
      </c>
      <c r="G24">
        <v>354900</v>
      </c>
      <c r="H24">
        <v>461766</v>
      </c>
    </row>
    <row r="25" spans="1:8" x14ac:dyDescent="0.35">
      <c r="A25">
        <v>23</v>
      </c>
      <c r="B25" s="1" t="s">
        <v>40</v>
      </c>
      <c r="C25">
        <v>0</v>
      </c>
      <c r="D25">
        <v>89386</v>
      </c>
    </row>
    <row r="26" spans="1:8" x14ac:dyDescent="0.35">
      <c r="A26">
        <v>24</v>
      </c>
      <c r="B26" s="1" t="s">
        <v>22</v>
      </c>
      <c r="C26">
        <v>14583</v>
      </c>
      <c r="D26">
        <v>14891</v>
      </c>
      <c r="E26">
        <v>15828</v>
      </c>
      <c r="F26">
        <v>19827</v>
      </c>
      <c r="G26">
        <v>25558</v>
      </c>
      <c r="H26">
        <v>28941</v>
      </c>
    </row>
    <row r="27" spans="1:8" x14ac:dyDescent="0.35">
      <c r="A27">
        <v>25</v>
      </c>
      <c r="B27" s="1" t="s">
        <v>8</v>
      </c>
      <c r="C27">
        <v>25821</v>
      </c>
      <c r="D27">
        <v>3435</v>
      </c>
      <c r="E27">
        <v>8490</v>
      </c>
      <c r="F27">
        <v>3681</v>
      </c>
      <c r="G27">
        <v>0</v>
      </c>
      <c r="H27">
        <v>17145</v>
      </c>
    </row>
    <row r="28" spans="1:8" x14ac:dyDescent="0.35">
      <c r="A28">
        <v>26</v>
      </c>
      <c r="B28" s="1" t="s">
        <v>23</v>
      </c>
      <c r="C28">
        <v>12975</v>
      </c>
      <c r="D28">
        <v>62516</v>
      </c>
      <c r="E28">
        <v>72572</v>
      </c>
      <c r="F28">
        <v>63998</v>
      </c>
      <c r="G28">
        <v>81372</v>
      </c>
      <c r="H28">
        <v>64309</v>
      </c>
    </row>
    <row r="29" spans="1:8" x14ac:dyDescent="0.35">
      <c r="A29">
        <v>27</v>
      </c>
      <c r="B29" s="1" t="s">
        <v>24</v>
      </c>
      <c r="C29">
        <v>832821</v>
      </c>
      <c r="D29">
        <v>257674</v>
      </c>
      <c r="E29">
        <v>510315</v>
      </c>
      <c r="F29">
        <v>21460</v>
      </c>
      <c r="G29">
        <v>273771</v>
      </c>
      <c r="H29">
        <v>398275</v>
      </c>
    </row>
    <row r="30" spans="1:8" x14ac:dyDescent="0.35">
      <c r="A30">
        <v>28</v>
      </c>
      <c r="B30" s="1" t="s">
        <v>25</v>
      </c>
      <c r="C30">
        <v>181893</v>
      </c>
      <c r="D30">
        <v>200864</v>
      </c>
      <c r="E30">
        <v>218807</v>
      </c>
      <c r="F30">
        <v>234523</v>
      </c>
      <c r="G30">
        <v>278705</v>
      </c>
      <c r="H30">
        <v>377743</v>
      </c>
    </row>
    <row r="31" spans="1:8" x14ac:dyDescent="0.35">
      <c r="A31">
        <v>29</v>
      </c>
      <c r="B31" s="1" t="s">
        <v>26</v>
      </c>
      <c r="C31">
        <v>1321165</v>
      </c>
      <c r="D31">
        <v>911891</v>
      </c>
      <c r="E31">
        <v>1162874</v>
      </c>
      <c r="F31">
        <v>677846</v>
      </c>
      <c r="G31">
        <v>1014306</v>
      </c>
      <c r="H31">
        <v>1348179</v>
      </c>
    </row>
    <row r="32" spans="1:8" x14ac:dyDescent="0.35">
      <c r="A32">
        <v>30</v>
      </c>
      <c r="B32" s="1" t="s">
        <v>27</v>
      </c>
    </row>
    <row r="33" spans="1:8" x14ac:dyDescent="0.35">
      <c r="A33">
        <v>31</v>
      </c>
      <c r="B33" s="1" t="s">
        <v>28</v>
      </c>
      <c r="G33">
        <v>0</v>
      </c>
      <c r="H33">
        <v>31982</v>
      </c>
    </row>
    <row r="34" spans="1:8" x14ac:dyDescent="0.35">
      <c r="A34">
        <v>32</v>
      </c>
      <c r="B34" s="1" t="s">
        <v>29</v>
      </c>
      <c r="C34">
        <v>1044079</v>
      </c>
      <c r="D34">
        <v>1539240</v>
      </c>
      <c r="E34">
        <v>1741588</v>
      </c>
      <c r="F34">
        <v>2242934</v>
      </c>
      <c r="G34">
        <v>2008908</v>
      </c>
      <c r="H34">
        <v>2226846</v>
      </c>
    </row>
    <row r="35" spans="1:8" x14ac:dyDescent="0.35">
      <c r="A35">
        <v>33</v>
      </c>
      <c r="B35" s="1" t="s">
        <v>30</v>
      </c>
      <c r="C35">
        <v>1401769</v>
      </c>
      <c r="D35">
        <v>1526564</v>
      </c>
      <c r="E35">
        <v>1741936</v>
      </c>
      <c r="F35">
        <v>1834706</v>
      </c>
      <c r="G35">
        <v>2148272</v>
      </c>
      <c r="H35">
        <v>2392730</v>
      </c>
    </row>
    <row r="36" spans="1:8" x14ac:dyDescent="0.35">
      <c r="A36">
        <v>34</v>
      </c>
      <c r="B36" s="1" t="s">
        <v>17</v>
      </c>
      <c r="C36">
        <v>121879</v>
      </c>
      <c r="D36">
        <v>151901</v>
      </c>
      <c r="E36">
        <v>144848</v>
      </c>
      <c r="F36">
        <v>127273</v>
      </c>
      <c r="G36">
        <v>122848</v>
      </c>
      <c r="H36">
        <v>102727</v>
      </c>
    </row>
    <row r="37" spans="1:8" x14ac:dyDescent="0.35">
      <c r="A37">
        <v>35</v>
      </c>
      <c r="B37" s="1" t="s">
        <v>31</v>
      </c>
      <c r="C37">
        <v>3888892</v>
      </c>
      <c r="D37">
        <v>4129596</v>
      </c>
      <c r="E37">
        <v>4791246</v>
      </c>
      <c r="F37">
        <v>4882759</v>
      </c>
      <c r="G37">
        <v>5294334</v>
      </c>
      <c r="H37">
        <v>6102464</v>
      </c>
    </row>
    <row r="38" spans="1:8" x14ac:dyDescent="0.35">
      <c r="A38">
        <v>36</v>
      </c>
      <c r="B38" s="1" t="s">
        <v>32</v>
      </c>
    </row>
    <row r="39" spans="1:8" x14ac:dyDescent="0.35">
      <c r="A39">
        <v>37</v>
      </c>
      <c r="B39" s="1" t="s">
        <v>33</v>
      </c>
      <c r="C39">
        <v>485487</v>
      </c>
      <c r="D39">
        <v>479446</v>
      </c>
      <c r="E39">
        <v>488074</v>
      </c>
      <c r="F39">
        <v>523125</v>
      </c>
      <c r="G39">
        <v>1275702</v>
      </c>
      <c r="H39">
        <v>1266750</v>
      </c>
    </row>
    <row r="40" spans="1:8" x14ac:dyDescent="0.35">
      <c r="A40">
        <v>38</v>
      </c>
      <c r="B40" s="1" t="s">
        <v>34</v>
      </c>
      <c r="G40">
        <v>-20000</v>
      </c>
      <c r="H40">
        <v>-29970</v>
      </c>
    </row>
    <row r="41" spans="1:8" x14ac:dyDescent="0.35">
      <c r="A41">
        <v>39</v>
      </c>
      <c r="B41" s="1" t="s">
        <v>35</v>
      </c>
      <c r="C41">
        <v>28527</v>
      </c>
      <c r="D41">
        <v>32924</v>
      </c>
      <c r="E41">
        <v>42678</v>
      </c>
      <c r="F41">
        <v>49539</v>
      </c>
      <c r="G41">
        <v>51718</v>
      </c>
      <c r="H41">
        <v>57572</v>
      </c>
    </row>
    <row r="42" spans="1:8" x14ac:dyDescent="0.35">
      <c r="A42">
        <v>40</v>
      </c>
      <c r="B42" s="1" t="s">
        <v>36</v>
      </c>
      <c r="C42">
        <v>-149983</v>
      </c>
      <c r="D42">
        <v>-578079</v>
      </c>
      <c r="E42">
        <v>-514078</v>
      </c>
      <c r="F42">
        <v>-226547</v>
      </c>
      <c r="G42">
        <v>-225301</v>
      </c>
      <c r="H42">
        <v>128858</v>
      </c>
    </row>
    <row r="43" spans="1:8" x14ac:dyDescent="0.35">
      <c r="A43">
        <v>41</v>
      </c>
      <c r="B43" s="1" t="s">
        <v>37</v>
      </c>
      <c r="C43">
        <v>-29177</v>
      </c>
      <c r="D43">
        <v>-325</v>
      </c>
      <c r="E43">
        <v>11736</v>
      </c>
      <c r="F43">
        <v>34731</v>
      </c>
      <c r="G43">
        <v>106139</v>
      </c>
      <c r="H43">
        <v>32678</v>
      </c>
    </row>
    <row r="44" spans="1:8" x14ac:dyDescent="0.35">
      <c r="A44">
        <v>42</v>
      </c>
      <c r="B44" s="1" t="s">
        <v>38</v>
      </c>
      <c r="C44">
        <v>334854</v>
      </c>
      <c r="D44">
        <v>-66034</v>
      </c>
      <c r="E44">
        <v>28410</v>
      </c>
      <c r="F44">
        <v>380848</v>
      </c>
      <c r="G44">
        <v>1188258</v>
      </c>
      <c r="H44">
        <v>1455888</v>
      </c>
    </row>
    <row r="45" spans="1:8" x14ac:dyDescent="0.35">
      <c r="A45">
        <v>43</v>
      </c>
      <c r="B45" s="1" t="s">
        <v>39</v>
      </c>
      <c r="C45">
        <v>4223746</v>
      </c>
      <c r="D45">
        <v>4063562</v>
      </c>
      <c r="E45">
        <v>4819656</v>
      </c>
      <c r="F45">
        <v>5263607</v>
      </c>
      <c r="G45">
        <v>6482592</v>
      </c>
      <c r="H45">
        <v>7558352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A55210-C95D-4925-B058-CC2622AA2A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Intro</vt:lpstr>
      <vt:lpstr>Common Analysis</vt:lpstr>
      <vt:lpstr>Ratio</vt:lpstr>
      <vt:lpstr>DuPont Analysis</vt:lpstr>
      <vt:lpstr>MA Note</vt:lpstr>
      <vt:lpstr>CF Quality</vt:lpstr>
      <vt:lpstr>Forecast + Valuation</vt:lpstr>
      <vt:lpstr>Financial Position</vt:lpstr>
      <vt:lpstr>Income Statement</vt:lpstr>
      <vt:lpstr>Cash Flow</vt:lpstr>
      <vt:lpstr>Data-Cash Flow Statement</vt:lpstr>
      <vt:lpstr>Data-Income Statement</vt:lpstr>
      <vt:lpstr>FP-2026_2022</vt:lpstr>
      <vt:lpstr>Capex___of_sales</vt:lpstr>
      <vt:lpstr>Change_in_net_working_capital____of_incremental_sales</vt:lpstr>
      <vt:lpstr>D_A___of_sales</vt:lpstr>
      <vt:lpstr>Effective_tax_rate</vt:lpstr>
      <vt:lpstr>Operating_margin</vt:lpstr>
      <vt:lpstr>Revenue_growth_rate</vt:lpstr>
      <vt:lpstr>Terminal__perpetuity__growth_rate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Asley</dc:creator>
  <cp:lastModifiedBy>Asley</cp:lastModifiedBy>
  <dcterms:created xsi:type="dcterms:W3CDTF">2015-06-05T18:17:20Z</dcterms:created>
  <dcterms:modified xsi:type="dcterms:W3CDTF">2026-09-18T00:45:11Z</dcterms:modified>
</cp:coreProperties>
</file>